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Packs" sheetId="3" state="visible" r:id="rId3"/>
    <sheet xmlns:r="http://schemas.openxmlformats.org/officeDocument/2006/relationships" name="Proced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B1B2B"/>
      </patternFill>
    </fill>
    <fill>
      <patternFill patternType="solid">
        <fgColor rgb="00E9F1F7"/>
      </patternFill>
    </fill>
    <fill>
      <patternFill patternType="solid">
        <fgColor rgb="00F6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2" fontId="0" fillId="3" borderId="0" pivotButton="0" quotePrefix="0" xfId="0"/>
    <xf numFmtId="2" fontId="0" fillId="4" borderId="0" pivotButton="0" quotePrefix="0" xfId="0"/>
    <xf numFmtId="164" fontId="0" fillId="4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FF0D8"/>
        </patternFill>
      </fill>
    </dxf>
    <dxf>
      <fill>
        <patternFill patternType="solid">
          <fgColor rgb="00FCE4C8"/>
        </patternFill>
      </fill>
    </dxf>
    <dxf>
      <fill>
        <patternFill patternType="solid">
          <fgColor rgb="00F2DED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8" customWidth="1" min="4" max="4"/>
    <col width="7" customWidth="1" min="5" max="5"/>
    <col width="10" customWidth="1" min="6" max="6"/>
    <col width="11" customWidth="1" min="7" max="7"/>
    <col width="9" customWidth="1" min="8" max="8"/>
    <col width="8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6" customWidth="1" min="19" max="19"/>
    <col width="14" customWidth="1" min="20" max="20"/>
    <col width="7" customWidth="1" min="21" max="21"/>
    <col width="17" customWidth="1" min="22" max="22"/>
    <col width="60" customWidth="1" min="23" max="23"/>
  </cols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COUNTRY</t>
        </is>
      </c>
      <c r="D1" s="1" t="inlineStr">
        <is>
          <t>MOQ</t>
        </is>
      </c>
      <c r="E1" s="1" t="inlineStr">
        <is>
          <t>QTY</t>
        </is>
      </c>
      <c r="F1" s="1" t="inlineStr">
        <is>
          <t>UNIT_EXW</t>
        </is>
      </c>
      <c r="G1" s="1" t="inlineStr">
        <is>
          <t>PACKAGING</t>
        </is>
      </c>
      <c r="H1" s="1" t="inlineStr">
        <is>
          <t>FREIGHT</t>
        </is>
      </c>
      <c r="I1" s="1" t="inlineStr">
        <is>
          <t>DUTY</t>
        </is>
      </c>
      <c r="J1" s="1" t="inlineStr">
        <is>
          <t>OTHER_COSTS</t>
        </is>
      </c>
      <c r="K1" s="1" t="inlineStr">
        <is>
          <t>LANDED_UNIT_COST</t>
        </is>
      </c>
      <c r="L1" s="1" t="inlineStr">
        <is>
          <t>TARGET_MAX_COST</t>
        </is>
      </c>
      <c r="M1" s="1" t="inlineStr">
        <is>
          <t>FLOOR_MAX_COST</t>
        </is>
      </c>
      <c r="N1" s="1" t="inlineStr">
        <is>
          <t>SELLING_PRICE_HT</t>
        </is>
      </c>
      <c r="O1" s="1" t="inlineStr">
        <is>
          <t>GROSS_MARGIN_EUR</t>
        </is>
      </c>
      <c r="P1" s="1" t="inlineStr">
        <is>
          <t>GROSS_MARGIN_PERCENT</t>
        </is>
      </c>
      <c r="Q1" s="1" t="inlineStr">
        <is>
          <t>SAMPLE_COST</t>
        </is>
      </c>
      <c r="R1" s="1" t="inlineStr">
        <is>
          <t>PRODUCTION_TIME</t>
        </is>
      </c>
      <c r="S1" s="1" t="inlineStr">
        <is>
          <t>COMPLIANCE_STATUS</t>
        </is>
      </c>
      <c r="T1" s="1" t="inlineStr">
        <is>
          <t>QUALITY_STATUS</t>
        </is>
      </c>
      <c r="U1" s="1" t="inlineStr">
        <is>
          <t>SCORE</t>
        </is>
      </c>
      <c r="V1" s="1" t="inlineStr">
        <is>
          <t>DECISION</t>
        </is>
      </c>
      <c r="W1" s="1" t="inlineStr">
        <is>
          <t>NOTES</t>
        </is>
      </c>
    </row>
    <row r="2">
      <c r="A2" t="inlineStr">
        <is>
          <t>chaussettes-polaires-nuage</t>
        </is>
      </c>
      <c r="K2" s="2">
        <f>IF(COUNT(F2:J2)=5,SUM(F2:J2),"")</f>
        <v/>
      </c>
      <c r="L2" s="3" t="n">
        <v>7.26</v>
      </c>
      <c r="M2" s="3" t="n">
        <v>9.34</v>
      </c>
      <c r="N2" s="3" t="n">
        <v>20.75</v>
      </c>
      <c r="O2" s="4">
        <f>IF(K2="","",N2-K2)</f>
        <v/>
      </c>
      <c r="P2" s="5">
        <f>IF(O2="","",O2/N2)</f>
        <v/>
      </c>
      <c r="S2" t="inlineStr">
        <is>
          <t>NON_DOCUMENTE</t>
        </is>
      </c>
      <c r="T2" t="inlineStr">
        <is>
          <t>NON_DOCUMENTE</t>
        </is>
      </c>
      <c r="V2" s="2">
        <f>IF(OR(F2="",K2=""),"SAMPLE REQUIRED",IF(OR(S2="NON",T2="NON"),"NO GO",IF(AND(K2&lt;=L2,S2="OK",T2="OK",U2&gt;=70),"GO",IF(AND(K2&lt;=M2,S2&lt;&gt;"NON",T2&lt;&gt;"NON",U2&gt;=55),"NEGOTIATE","NO GO"))))</f>
        <v/>
      </c>
      <c r="W2" t="inlineStr">
        <is>
          <t>Vedette. R36: 2 tailles. RFQ_SUPPLIERS 3.1</t>
        </is>
      </c>
    </row>
    <row r="3">
      <c r="A3" t="inlineStr">
        <is>
          <t>gants-tactiles-contact</t>
        </is>
      </c>
      <c r="K3" s="2">
        <f>IF(COUNT(F3:J3)=5,SUM(F3:J3),"")</f>
        <v/>
      </c>
      <c r="L3" s="3" t="n">
        <v>8.720000000000001</v>
      </c>
      <c r="M3" s="3" t="n">
        <v>11.21</v>
      </c>
      <c r="N3" s="3" t="n">
        <v>24.92</v>
      </c>
      <c r="O3" s="4">
        <f>IF(K3="","",N3-K3)</f>
        <v/>
      </c>
      <c r="P3" s="5">
        <f>IF(O3="","",O3/N3)</f>
        <v/>
      </c>
      <c r="S3" t="inlineStr">
        <is>
          <t>NON_DOCUMENTE</t>
        </is>
      </c>
      <c r="T3" t="inlineStr">
        <is>
          <t>NON_DOCUMENTE</t>
        </is>
      </c>
      <c r="V3" s="2">
        <f>IF(OR(F3="",K3=""),"SAMPLE REQUIRED",IF(OR(S3="NON",T3="NON"),"NO GO",IF(AND(K3&lt;=L3,S3="OK",T3="OK",U3&gt;=70),"GO",IF(AND(K3&lt;=M3,S3&lt;&gt;"NON",T3&lt;&gt;"NON",U3&gt;=55),"NEGOTIATE","NO GO"))))</f>
        <v/>
      </c>
      <c r="W3" t="inlineStr">
        <is>
          <t>Coeur. Preuve tactile lavage. 3.2</t>
        </is>
      </c>
    </row>
    <row r="4">
      <c r="A4" t="inlineStr">
        <is>
          <t>bonnet-torse-boreale</t>
        </is>
      </c>
      <c r="K4" s="2">
        <f>IF(COUNT(F4:J4)=5,SUM(F4:J4),"")</f>
        <v/>
      </c>
      <c r="L4" s="3" t="n">
        <v>10.18</v>
      </c>
      <c r="M4" s="3" t="n">
        <v>13.09</v>
      </c>
      <c r="N4" s="3" t="n">
        <v>29.08</v>
      </c>
      <c r="O4" s="4">
        <f>IF(K4="","",N4-K4)</f>
        <v/>
      </c>
      <c r="P4" s="5">
        <f>IF(O4="","",O4/N4)</f>
        <v/>
      </c>
      <c r="S4" t="inlineStr">
        <is>
          <t>NON_DOCUMENTE</t>
        </is>
      </c>
      <c r="T4" t="inlineStr">
        <is>
          <t>NON_DOCUMENTE</t>
        </is>
      </c>
      <c r="V4" s="2">
        <f>IF(OR(F4="",K4=""),"SAMPLE REQUIRED",IF(OR(S4="NON",T4="NON"),"NO GO",IF(AND(K4&lt;=L4,S4="OK",T4="OK",U4&gt;=70),"GO",IF(AND(K4&lt;=M4,S4&lt;&gt;"NON",T4&lt;&gt;"NON",U4&gt;=55),"NEGOTIATE","NO GO"))))</f>
        <v/>
      </c>
      <c r="W4" t="inlineStr">
        <is>
          <t>Coeur. Test extension 54-60cm. 3.3</t>
        </is>
      </c>
    </row>
    <row r="5">
      <c r="A5" t="inlineStr">
        <is>
          <t>cache-cou-polaire-bise</t>
        </is>
      </c>
      <c r="K5" s="2">
        <f>IF(COUNT(F5:J5)=5,SUM(F5:J5),"")</f>
        <v/>
      </c>
      <c r="L5" s="3" t="n">
        <v>5.8</v>
      </c>
      <c r="M5" s="3" t="n">
        <v>7.46</v>
      </c>
      <c r="N5" s="3" t="n">
        <v>16.58</v>
      </c>
      <c r="O5" s="4">
        <f>IF(K5="","",N5-K5)</f>
        <v/>
      </c>
      <c r="P5" s="5">
        <f>IF(O5="","",O5/N5)</f>
        <v/>
      </c>
      <c r="S5" t="inlineStr">
        <is>
          <t>NON_DOCUMENTE</t>
        </is>
      </c>
      <c r="T5" t="inlineStr">
        <is>
          <t>NON_DOCUMENTE</t>
        </is>
      </c>
      <c r="V5" s="2">
        <f>IF(OR(F5="",K5=""),"SAMPLE REQUIRED",IF(OR(S5="NON",T5="NON"),"NO GO",IF(AND(K5&lt;=L5,S5="OK",T5="OK",U5&gt;=70),"GO",IF(AND(K5&lt;=M5,S5&lt;&gt;"NON",T5&lt;&gt;"NON",U5&gt;=55),"NEGOTIATE","NO GO"))))</f>
        <v/>
      </c>
      <c r="W5" t="inlineStr">
        <is>
          <t>APPEL. 3.4</t>
        </is>
      </c>
    </row>
    <row r="6">
      <c r="A6" t="inlineStr">
        <is>
          <t>legging-thermique-seconde-peau</t>
        </is>
      </c>
      <c r="K6" s="2">
        <f>IF(COUNT(F6:J6)=5,SUM(F6:J6),"")</f>
        <v/>
      </c>
      <c r="L6" s="3" t="n">
        <v>11.64</v>
      </c>
      <c r="M6" s="3" t="n">
        <v>14.96</v>
      </c>
      <c r="N6" s="3" t="n">
        <v>33.25</v>
      </c>
      <c r="O6" s="4">
        <f>IF(K6="","",N6-K6)</f>
        <v/>
      </c>
      <c r="P6" s="5">
        <f>IF(O6="","",O6/N6)</f>
        <v/>
      </c>
      <c r="S6" t="inlineStr">
        <is>
          <t>NON_DOCUMENTE</t>
        </is>
      </c>
      <c r="T6" t="inlineStr">
        <is>
          <t>NON_DOCUMENTE</t>
        </is>
      </c>
      <c r="V6" s="2">
        <f>IF(OR(F6="",K6=""),"SAMPLE REQUIRED",IF(OR(S6="NON",T6="NON"),"NO GO",IF(AND(K6&lt;=L6,S6="OK",T6="OK",U6&gt;=70),"GO",IF(AND(K6&lt;=M6,S6&lt;&gt;"NON",T6&lt;&gt;"NON",U6&gt;=55),"NEGOTIATE","NO GO"))))</f>
        <v/>
      </c>
      <c r="W6" t="inlineStr">
        <is>
          <t>UPSELL taille critique. R36 prio + 3 tailles. 3.5</t>
        </is>
      </c>
    </row>
    <row r="7">
      <c r="A7" t="inlineStr">
        <is>
          <t>chaussons-fourres-refuge</t>
        </is>
      </c>
      <c r="K7" s="2">
        <f>IF(COUNT(F7:J7)=5,SUM(F7:J7),"")</f>
        <v/>
      </c>
      <c r="L7" s="3" t="n">
        <v>13.1</v>
      </c>
      <c r="M7" s="3" t="n">
        <v>16.84</v>
      </c>
      <c r="N7" s="3" t="n">
        <v>37.42</v>
      </c>
      <c r="O7" s="4">
        <f>IF(K7="","",N7-K7)</f>
        <v/>
      </c>
      <c r="P7" s="5">
        <f>IF(O7="","",O7/N7)</f>
        <v/>
      </c>
      <c r="S7" t="inlineStr">
        <is>
          <t>NON_DOCUMENTE</t>
        </is>
      </c>
      <c r="T7" t="inlineStr">
        <is>
          <t>NON_DOCUMENTE</t>
        </is>
      </c>
      <c r="V7" s="2">
        <f>IF(OR(F7="",K7=""),"SAMPLE REQUIRED",IF(OR(S7="NON",T7="NON"),"NO GO",IF(AND(K7&lt;=L7,S7="OK",T7="OK",U7&gt;=70),"GO",IF(AND(K7&lt;=M7,S7&lt;&gt;"NON",T7&lt;&gt;"NON",U7&gt;=55),"NEGOTIATE","NO GO"))))</f>
        <v/>
      </c>
      <c r="W7" t="inlineStr">
        <is>
          <t>Taille critique: semelle interne cm/pointure. 3.6</t>
        </is>
      </c>
    </row>
    <row r="8">
      <c r="A8" t="inlineStr">
        <is>
          <t>chaussons-bouillotte-foyer</t>
        </is>
      </c>
      <c r="K8" s="2">
        <f>IF(COUNT(F8:J8)=5,SUM(F8:J8),"")</f>
        <v/>
      </c>
      <c r="L8" s="3" t="n">
        <v>13.1</v>
      </c>
      <c r="M8" s="3" t="n">
        <v>16.84</v>
      </c>
      <c r="N8" s="3" t="n">
        <v>37.42</v>
      </c>
      <c r="O8" s="4">
        <f>IF(K8="","",N8-K8)</f>
        <v/>
      </c>
      <c r="P8" s="5">
        <f>IF(O8="","",O8/N8)</f>
        <v/>
      </c>
      <c r="S8" t="inlineStr">
        <is>
          <t>NON_DOCUMENTE</t>
        </is>
      </c>
      <c r="T8" t="inlineStr">
        <is>
          <t>NON_DOCUMENTE</t>
        </is>
      </c>
      <c r="V8" s="2">
        <f>IF(OR(F8="",K8=""),"SAMPLE REQUIRED",IF(OR(S8="NON",T8="NON"),"NO GO",IF(AND(K8&lt;=L8,S8="OK",T8="OK",U8&gt;=70),"GO",IF(AND(K8&lt;=M8,S8&lt;&gt;"NON",T8&lt;&gt;"NON",U8&gt;=55),"NEGOTIATE","NO GO"))))</f>
        <v/>
      </c>
      <c r="W8" t="inlineStr">
        <is>
          <t>HERO P1: gate docs 4.x - GO interdit sans pack documentaire</t>
        </is>
      </c>
    </row>
    <row r="9">
      <c r="A9" t="inlineStr">
        <is>
          <t>chauffe-mains-reutilisables-braise</t>
        </is>
      </c>
      <c r="K9" s="2">
        <f>IF(COUNT(F9:J9)=5,SUM(F9:J9),"")</f>
        <v/>
      </c>
      <c r="L9" s="3" t="n">
        <v>4.93</v>
      </c>
      <c r="M9" s="3" t="n">
        <v>6.34</v>
      </c>
      <c r="N9" s="3" t="n">
        <v>14.08</v>
      </c>
      <c r="O9" s="4">
        <f>IF(K9="","",N9-K9)</f>
        <v/>
      </c>
      <c r="P9" s="5">
        <f>IF(O9="","",O9/N9)</f>
        <v/>
      </c>
      <c r="S9" t="inlineStr">
        <is>
          <t>NON_DOCUMENTE</t>
        </is>
      </c>
      <c r="T9" t="inlineStr">
        <is>
          <t>NON_DOCUMENTE</t>
        </is>
      </c>
      <c r="V9" s="2">
        <f>IF(OR(F9="",K9=""),"SAMPLE REQUIRED",IF(OR(S9="NON",T9="NON"),"NO GO",IF(AND(K9&lt;=L9,S9="OK",T9="OK",U9&gt;=70),"GO",IF(AND(K9&lt;=M9,S9&lt;&gt;"NON",T9&lt;&gt;"NON",U9&gt;=55),"NEGOTIATE","NO GO"))))</f>
        <v/>
      </c>
      <c r="W9" t="inlineStr">
        <is>
          <t>APPEL lot x2. FDS+CLP obligatoires. 3.8</t>
        </is>
      </c>
    </row>
    <row r="10">
      <c r="A10" t="inlineStr">
        <is>
          <t>plaid-polaire-alpage</t>
        </is>
      </c>
      <c r="K10" s="2">
        <f>IF(COUNT(F10:J10)=5,SUM(F10:J10),"")</f>
        <v/>
      </c>
      <c r="L10" s="3" t="n">
        <v>8.720000000000001</v>
      </c>
      <c r="M10" s="3" t="n">
        <v>11.21</v>
      </c>
      <c r="N10" s="3" t="n">
        <v>24.92</v>
      </c>
      <c r="O10" s="4">
        <f>IF(K10="","",N10-K10)</f>
        <v/>
      </c>
      <c r="P10" s="5">
        <f>IF(O10="","",O10/N10)</f>
        <v/>
      </c>
      <c r="S10" t="inlineStr">
        <is>
          <t>NON_DOCUMENTE</t>
        </is>
      </c>
      <c r="T10" t="inlineStr">
        <is>
          <t>NON_DOCUMENTE</t>
        </is>
      </c>
      <c r="V10" s="2">
        <f>IF(OR(F10="",K10=""),"SAMPLE REQUIRED",IF(OR(S10="NON",T10="NON"),"NO GO",IF(AND(K10&lt;=L10,S10="OK",T10="OK",U10&gt;=70),"GO",IF(AND(K10&lt;=M10,S10&lt;&gt;"NON",T10&lt;&gt;"NON",U10&gt;=55),"NEGOTIATE","NO GO"))))</f>
        <v/>
      </c>
      <c r="W10" t="inlineStr">
        <is>
          <t>APPEL volume. CBM critique. 3.9</t>
        </is>
      </c>
    </row>
    <row r="11">
      <c r="A11" t="inlineStr">
        <is>
          <t>bouillotte-noyaux-cerise-brasero</t>
        </is>
      </c>
      <c r="K11" s="2">
        <f>IF(COUNT(F11:J11)=5,SUM(F11:J11),"")</f>
        <v/>
      </c>
      <c r="L11" s="3" t="n">
        <v>7.26</v>
      </c>
      <c r="M11" s="3" t="n">
        <v>9.34</v>
      </c>
      <c r="N11" s="3" t="n">
        <v>20.75</v>
      </c>
      <c r="O11" s="4">
        <f>IF(K11="","",N11-K11)</f>
        <v/>
      </c>
      <c r="P11" s="5">
        <f>IF(O11="","",O11/N11)</f>
        <v/>
      </c>
      <c r="S11" t="inlineStr">
        <is>
          <t>NON_DOCUMENTE</t>
        </is>
      </c>
      <c r="T11" t="inlineStr">
        <is>
          <t>NON_DOCUMENTE</t>
        </is>
      </c>
      <c r="V11" s="2">
        <f>IF(OR(F11="",K11=""),"SAMPLE REQUIRED",IF(OR(S11="NON",T11="NON"),"NO GO",IF(AND(K11&lt;=L11,S11="OK",T11="OK",U11&gt;=70),"GO",IF(AND(K11&lt;=M11,S11&lt;&gt;"NON",T11&lt;&gt;"NON",U11&gt;=55),"NEGOTIATE","NO GO"))))</f>
        <v/>
      </c>
      <c r="W11" t="inlineStr">
        <is>
          <t>UPSELL. Fiche sanitaire + notice FR. 3.10</t>
        </is>
      </c>
    </row>
    <row r="12">
      <c r="A12" t="inlineStr">
        <is>
          <t>housse-pare-brise-sentinelle-ST</t>
        </is>
      </c>
      <c r="K12" s="2">
        <f>IF(COUNT(F12:J12)=5,SUM(F12:J12),"")</f>
        <v/>
      </c>
      <c r="L12" s="3" t="n">
        <v>10.18</v>
      </c>
      <c r="M12" s="3" t="n">
        <v>13.09</v>
      </c>
      <c r="N12" s="3" t="n">
        <v>29.08</v>
      </c>
      <c r="O12" s="4">
        <f>IF(K12="","",N12-K12)</f>
        <v/>
      </c>
      <c r="P12" s="5">
        <f>IF(O12="","",O12/N12)</f>
        <v/>
      </c>
      <c r="S12" t="inlineStr">
        <is>
          <t>NON_DOCUMENTE</t>
        </is>
      </c>
      <c r="T12" t="inlineStr">
        <is>
          <t>NON_DOCUMENTE</t>
        </is>
      </c>
      <c r="V12" s="2">
        <f>IF(OR(F12="",K12=""),"SAMPLE REQUIRED",IF(OR(S12="NON",T12="NON"),"NO GO",IF(AND(K12&lt;=L12,S12="OK",T12="OK",U12&gt;=70),"GO",IF(AND(K12&lt;=M12,S12&lt;&gt;"NON",T12&lt;&gt;"NON",U12&gt;=55),"NEGOTIATE","NO GO"))))</f>
        <v/>
      </c>
      <c r="W12" t="inlineStr">
        <is>
          <t>Vedette auto ST 145x110. 3.11</t>
        </is>
      </c>
    </row>
    <row r="13">
      <c r="A13" t="inlineStr">
        <is>
          <t>housse-pare-brise-sentinelle-XL</t>
        </is>
      </c>
      <c r="K13" s="2">
        <f>IF(COUNT(F13:J13)=5,SUM(F13:J13),"")</f>
        <v/>
      </c>
      <c r="L13" s="3" t="n">
        <v>11.64</v>
      </c>
      <c r="M13" s="3" t="n">
        <v>14.96</v>
      </c>
      <c r="N13" s="3" t="n">
        <v>33.25</v>
      </c>
      <c r="O13" s="4">
        <f>IF(K13="","",N13-K13)</f>
        <v/>
      </c>
      <c r="P13" s="5">
        <f>IF(O13="","",O13/N13)</f>
        <v/>
      </c>
      <c r="S13" t="inlineStr">
        <is>
          <t>NON_DOCUMENTE</t>
        </is>
      </c>
      <c r="T13" t="inlineStr">
        <is>
          <t>NON_DOCUMENTE</t>
        </is>
      </c>
      <c r="V13" s="2">
        <f>IF(OR(F13="",K13=""),"SAMPLE REQUIRED",IF(OR(S13="NON",T13="NON"),"NO GO",IF(AND(K13&lt;=L13,S13="OK",T13="OK",U13&gt;=70),"GO",IF(AND(K13&lt;=M13,S13&lt;&gt;"NON",T13&lt;&gt;"NON",U13&gt;=55),"NEGOTIATE","NO GO"))))</f>
        <v/>
      </c>
      <c r="W13" t="inlineStr">
        <is>
          <t>Vedette auto XL 165x120. 3.11</t>
        </is>
      </c>
    </row>
    <row r="14">
      <c r="A14" t="inlineStr">
        <is>
          <t>gant-grattoir-polaire</t>
        </is>
      </c>
      <c r="K14" s="2">
        <f>IF(COUNT(F14:J14)=5,SUM(F14:J14),"")</f>
        <v/>
      </c>
      <c r="L14" s="3" t="n">
        <v>3.76</v>
      </c>
      <c r="M14" s="3" t="n">
        <v>4.84</v>
      </c>
      <c r="N14" s="3" t="n">
        <v>10.75</v>
      </c>
      <c r="O14" s="4">
        <f>IF(K14="","",N14-K14)</f>
        <v/>
      </c>
      <c r="P14" s="5">
        <f>IF(O14="","",O14/N14)</f>
        <v/>
      </c>
      <c r="S14" t="inlineStr">
        <is>
          <t>NON_DOCUMENTE</t>
        </is>
      </c>
      <c r="T14" t="inlineStr">
        <is>
          <t>NON_DOCUMENTE</t>
        </is>
      </c>
      <c r="V14" s="2">
        <f>IF(OR(F14="",K14=""),"SAMPLE REQUIRED",IF(OR(S14="NON",T14="NON"),"NO GO",IF(AND(K14&lt;=L14,S14="OK",T14="OK",U14&gt;=70),"GO",IF(AND(K14&lt;=M14,S14&lt;&gt;"NON",T14&lt;&gt;"NON",U14&gt;=55),"NEGOTIATE","NO GO"))))</f>
        <v/>
      </c>
      <c r="W14" t="inlineStr">
        <is>
          <t>APPEL. Choc ABS -20C. 3.12</t>
        </is>
      </c>
    </row>
    <row r="15">
      <c r="A15" t="inlineStr">
        <is>
          <t>plaid-sherpa-nid</t>
        </is>
      </c>
      <c r="K15" s="2">
        <f>IF(COUNT(F15:J15)=5,SUM(F15:J15),"")</f>
        <v/>
      </c>
      <c r="L15" s="3" t="n">
        <v>17.47</v>
      </c>
      <c r="M15" s="3" t="n">
        <v>22.46</v>
      </c>
      <c r="N15" s="3" t="n">
        <v>49.92</v>
      </c>
      <c r="O15" s="4">
        <f>IF(K15="","",N15-K15)</f>
        <v/>
      </c>
      <c r="P15" s="5">
        <f>IF(O15="","",O15/N15)</f>
        <v/>
      </c>
      <c r="S15" t="inlineStr">
        <is>
          <t>NON_DOCUMENTE</t>
        </is>
      </c>
      <c r="T15" t="inlineStr">
        <is>
          <t>NON_DOCUMENTE</t>
        </is>
      </c>
      <c r="V15" s="2">
        <f>IF(OR(F15="",K15=""),"SAMPLE REQUIRED",IF(OR(S15="NON",T15="NON"),"NO GO",IF(AND(K15&lt;=L15,S15="OK",T15="OK",U15&gt;=70),"GO",IF(AND(K15&lt;=M15,S15&lt;&gt;"NON",T15&lt;&gt;"NON",U15&gt;=55),"NEGOTIATE","NO GO"))))</f>
        <v/>
      </c>
      <c r="W15" t="inlineStr">
        <is>
          <t>Vedette. Compression/CBM. 3.13</t>
        </is>
      </c>
    </row>
    <row r="16">
      <c r="A16" t="inlineStr">
        <is>
          <t>plaid-manches-cocon</t>
        </is>
      </c>
      <c r="K16" s="2">
        <f>IF(COUNT(F16:J16)=5,SUM(F16:J16),"")</f>
        <v/>
      </c>
      <c r="L16" s="3" t="n">
        <v>14.55</v>
      </c>
      <c r="M16" s="3" t="n">
        <v>18.71</v>
      </c>
      <c r="N16" s="3" t="n">
        <v>41.58</v>
      </c>
      <c r="O16" s="4">
        <f>IF(K16="","",N16-K16)</f>
        <v/>
      </c>
      <c r="P16" s="5">
        <f>IF(O16="","",O16/N16)</f>
        <v/>
      </c>
      <c r="S16" t="inlineStr">
        <is>
          <t>NON_DOCUMENTE</t>
        </is>
      </c>
      <c r="T16" t="inlineStr">
        <is>
          <t>NON_DOCUMENTE</t>
        </is>
      </c>
      <c r="V16" s="2">
        <f>IF(OR(F16="",K16=""),"SAMPLE REQUIRED",IF(OR(S16="NON",T16="NON"),"NO GO",IF(AND(K16&lt;=L16,S16="OK",T16="OK",U16&gt;=70),"GO",IF(AND(K16&lt;=M16,S16&lt;&gt;"NON",T16&lt;&gt;"NON",U16&gt;=55),"NEGOTIATE","NO GO"))))</f>
        <v/>
      </c>
      <c r="W16" t="inlineStr">
        <is>
          <t>UPSELL. Table morphologies. 3.14</t>
        </is>
      </c>
    </row>
    <row r="17">
      <c r="A17" t="inlineStr">
        <is>
          <t>pack-cocooning</t>
        </is>
      </c>
      <c r="K17" s="2">
        <f>IF(COUNT(F17:J17)=5,SUM(F17:J17),"")</f>
        <v/>
      </c>
      <c r="L17" s="3" t="n">
        <v>27.68</v>
      </c>
      <c r="M17" s="3" t="n">
        <v>35.59</v>
      </c>
      <c r="N17" s="3" t="n">
        <v>79.08</v>
      </c>
      <c r="O17" s="4">
        <f>IF(K17="","",N17-K17)</f>
        <v/>
      </c>
      <c r="P17" s="5">
        <f>IF(O17="","",O17/N17)</f>
        <v/>
      </c>
      <c r="S17" t="inlineStr">
        <is>
          <t>NON_DOCUMENTE</t>
        </is>
      </c>
      <c r="T17" t="inlineStr">
        <is>
          <t>NON_DOCUMENTE</t>
        </is>
      </c>
      <c r="V17" s="2">
        <f>IF(OR(F17="",K17=""),"SAMPLE REQUIRED",IF(OR(S17="NON",T17="NON"),"NO GO",IF(AND(K17&lt;=L17,S17="OK",T17="OK",U17&gt;=70),"GO",IF(AND(K17&lt;=M17,S17&lt;&gt;"NON",T17&lt;&gt;"NON",U17&gt;=55),"NEGOTIATE","NO GO"))))</f>
        <v/>
      </c>
      <c r="W17" t="inlineStr">
        <is>
          <t>PACK: comparer A/B/C onglet Packs</t>
        </is>
      </c>
    </row>
    <row r="18">
      <c r="A18" t="inlineStr">
        <is>
          <t>pack-grand-froid</t>
        </is>
      </c>
      <c r="K18" s="2">
        <f>IF(COUNT(F18:J18)=5,SUM(F18:J18),"")</f>
        <v/>
      </c>
      <c r="L18" s="3" t="n">
        <v>32.05</v>
      </c>
      <c r="M18" s="3" t="n">
        <v>41.21</v>
      </c>
      <c r="N18" s="3" t="n">
        <v>91.58</v>
      </c>
      <c r="O18" s="4">
        <f>IF(K18="","",N18-K18)</f>
        <v/>
      </c>
      <c r="P18" s="5">
        <f>IF(O18="","",O18/N18)</f>
        <v/>
      </c>
      <c r="S18" t="inlineStr">
        <is>
          <t>NON_DOCUMENTE</t>
        </is>
      </c>
      <c r="T18" t="inlineStr">
        <is>
          <t>NON_DOCUMENTE</t>
        </is>
      </c>
      <c r="V18" s="2">
        <f>IF(OR(F18="",K18=""),"SAMPLE REQUIRED",IF(OR(S18="NON",T18="NON"),"NO GO",IF(AND(K18&lt;=L18,S18="OK",T18="OK",U18&gt;=70),"GO",IF(AND(K18&lt;=M18,S18&lt;&gt;"NON",T18&lt;&gt;"NON",U18&gt;=55),"NEGOTIATE","NO GO"))))</f>
        <v/>
      </c>
      <c r="W18" t="inlineStr">
        <is>
          <t>PACK: candidat B/C famille textile</t>
        </is>
      </c>
    </row>
    <row r="19">
      <c r="A19" t="inlineStr">
        <is>
          <t>pack-auto-hiver</t>
        </is>
      </c>
      <c r="K19" s="2">
        <f>IF(COUNT(F19:J19)=5,SUM(F19:J19),"")</f>
        <v/>
      </c>
      <c r="L19" s="3" t="n">
        <v>16.01</v>
      </c>
      <c r="M19" s="3" t="n">
        <v>20.59</v>
      </c>
      <c r="N19" s="3" t="n">
        <v>45.75</v>
      </c>
      <c r="O19" s="4">
        <f>IF(K19="","",N19-K19)</f>
        <v/>
      </c>
      <c r="P19" s="5">
        <f>IF(O19="","",O19/N19)</f>
        <v/>
      </c>
      <c r="S19" t="inlineStr">
        <is>
          <t>NON_DOCUMENTE</t>
        </is>
      </c>
      <c r="T19" t="inlineStr">
        <is>
          <t>NON_DOCUMENTE</t>
        </is>
      </c>
      <c r="V19" s="2">
        <f>IF(OR(F19="",K19=""),"SAMPLE REQUIRED",IF(OR(S19="NON",T19="NON"),"NO GO",IF(AND(K19&lt;=L19,S19="OK",T19="OK",U19&gt;=70),"GO",IF(AND(K19&lt;=M19,S19&lt;&gt;"NON",T19&lt;&gt;"NON",U19&gt;=55),"NEGOTIATE","NO GO"))))</f>
        <v/>
      </c>
      <c r="W19" t="inlineStr">
        <is>
          <t>PACK: A sous plancher aux cibles -&gt; C ou recomposition</t>
        </is>
      </c>
    </row>
    <row r="20">
      <c r="A20" t="inlineStr">
        <is>
          <t>pack-ski</t>
        </is>
      </c>
      <c r="K20" s="2">
        <f>IF(COUNT(F20:J20)=5,SUM(F20:J20),"")</f>
        <v/>
      </c>
      <c r="L20" s="3" t="n">
        <v>30.6</v>
      </c>
      <c r="M20" s="3" t="n">
        <v>39.34</v>
      </c>
      <c r="N20" s="3" t="n">
        <v>87.42</v>
      </c>
      <c r="O20" s="4">
        <f>IF(K20="","",N20-K20)</f>
        <v/>
      </c>
      <c r="P20" s="5">
        <f>IF(O20="","",O20/N20)</f>
        <v/>
      </c>
      <c r="S20" t="inlineStr">
        <is>
          <t>NON_DOCUMENTE</t>
        </is>
      </c>
      <c r="T20" t="inlineStr">
        <is>
          <t>NON_DOCUMENTE</t>
        </is>
      </c>
      <c r="V20" s="2">
        <f>IF(OR(F20="",K20=""),"SAMPLE REQUIRED",IF(OR(S20="NON",T20="NON"),"NO GO",IF(AND(K20&lt;=L20,S20="OK",T20="OK",U20&gt;=70),"GO",IF(AND(K20&lt;=M20,S20&lt;&gt;"NON",T20&lt;&gt;"NON",U20&gt;=55),"NEGOTIATE","NO GO"))))</f>
        <v/>
      </c>
      <c r="W20" t="inlineStr">
        <is>
          <t>PACK: candidat B/C famille textile</t>
        </is>
      </c>
    </row>
    <row r="21">
      <c r="A21" t="inlineStr">
        <is>
          <t>chaussons-bouillotte-foyer</t>
        </is>
      </c>
      <c r="B21" t="inlineStr">
        <is>
          <t>Shanghai Senwo Industry Co., Ltd.</t>
        </is>
      </c>
      <c r="C21" t="inlineStr">
        <is>
          <t>CN</t>
        </is>
      </c>
      <c r="D21" t="inlineStr">
        <is>
          <t>500</t>
        </is>
      </c>
      <c r="K21" s="2">
        <f>IF(COUNT(F21:J21)=5,SUM(F21:J21),"")</f>
        <v/>
      </c>
      <c r="L21" s="3" t="n">
        <v>13.1</v>
      </c>
      <c r="M21" s="3" t="n">
        <v>16.84</v>
      </c>
      <c r="N21" s="3" t="n">
        <v>37.42</v>
      </c>
      <c r="O21" s="4">
        <f>IF(K21="","",N21-K21)</f>
        <v/>
      </c>
      <c r="P21" s="5">
        <f>IF(O21="","",O21/N21)</f>
        <v/>
      </c>
      <c r="S21" t="inlineStr">
        <is>
          <t>100</t>
        </is>
      </c>
      <c r="U21" t="inlineStr">
        <is>
          <t>NON_DOCUMENTE</t>
        </is>
      </c>
      <c r="V21" s="2">
        <f>IF(OR(F21="",K21=""),"SAMPLE REQUIRED",IF(OR(S21="NON",T21="NON"),"NO GO",IF(AND(K21&lt;=L21,S21="OK",T21="OK",U21&gt;=70),"GO",IF(AND(K21&lt;=M21,S21&lt;&gt;"NON",T21&lt;&gt;"NON",U21&gt;=55),"NEGOTIATE","NO GO"))))</f>
        <v/>
      </c>
      <c r="X21" t="inlineStr">
        <is>
          <t>SAMPLE REQUIRED</t>
        </is>
      </c>
      <c r="Y21" t="inlineStr">
        <is>
          <t>Prix PUBLIC plateforme (pas un devis): $3.90/paire 500-49999, $1.70 &gt;=50000; echantillon $100. 14 ans Alibaba, 4.7/5(123), rep&lt;=5h, on-time&gt;=82%. FOB Shanghai; carton 50x34x30=0.051CBM; 350/710g; OEM full. Claim 'EU standards' sans copie. SRC: alibaba.com/product-detail/_1600619130210.html + shsenwo.com</t>
        </is>
      </c>
    </row>
    <row r="22">
      <c r="A22" t="inlineStr">
        <is>
          <t>chaussons-bouillotte-foyer</t>
        </is>
      </c>
      <c r="B22" t="inlineStr">
        <is>
          <t>Frey Home Decoration Co., Limited</t>
        </is>
      </c>
      <c r="C22" t="inlineStr">
        <is>
          <t>CN</t>
        </is>
      </c>
      <c r="D22" t="inlineStr">
        <is>
          <t>1000</t>
        </is>
      </c>
      <c r="K22" s="2">
        <f>IF(COUNT(F22:J22)=5,SUM(F22:J22),"")</f>
        <v/>
      </c>
      <c r="L22" s="3" t="n">
        <v>13.1</v>
      </c>
      <c r="M22" s="3" t="n">
        <v>16.84</v>
      </c>
      <c r="N22" s="3" t="n">
        <v>37.42</v>
      </c>
      <c r="O22" s="4">
        <f>IF(K22="","",N22-K22)</f>
        <v/>
      </c>
      <c r="P22" s="5">
        <f>IF(O22="","",O22/N22)</f>
        <v/>
      </c>
      <c r="S22" t="inlineStr">
        <is>
          <t>30</t>
        </is>
      </c>
      <c r="U22" t="inlineStr">
        <is>
          <t>NON_DOCUMENTE</t>
        </is>
      </c>
      <c r="V22" s="2">
        <f>IF(OR(F22="",K22=""),"SAMPLE REQUIRED",IF(OR(S22="NON",T22="NON"),"NO GO",IF(AND(K22&lt;=L22,S22="OK",T22="OK",U22&gt;=70),"GO",IF(AND(K22&lt;=M22,S22&lt;&gt;"NON",T22&lt;&gt;"NON",U22&gt;=55),"NEGOTIATE","NO GO"))))</f>
        <v/>
      </c>
      <c r="X22" t="inlineStr">
        <is>
          <t>SAMPLE REQUIRED</t>
        </is>
      </c>
      <c r="Y22" t="inlineStr">
        <is>
          <t>Prix PUBLIC: $1.50-2.60 MOQ 1000; echantillon $30. Audited Supplier tiers; Gold 2014 (13 ans); capacite 500000/an; HS 6405200010; OEM/ODM couleurs/tailles/logo. Claims CE/EN71/ASTM/AZO-free SANS copie. SRC: qdfrey.en.made-in-china.com/product/RMYnxUbHIwpt/</t>
        </is>
      </c>
    </row>
    <row r="23">
      <c r="A23" t="inlineStr">
        <is>
          <t>chaussons-bouillotte-foyer</t>
        </is>
      </c>
      <c r="B23" t="inlineStr">
        <is>
          <t>Yangzhou Excellence Household Necessaries Factory</t>
        </is>
      </c>
      <c r="C23" t="inlineStr">
        <is>
          <t>CN</t>
        </is>
      </c>
      <c r="D23" t="inlineStr">
        <is>
          <t>1000</t>
        </is>
      </c>
      <c r="K23" s="2">
        <f>IF(COUNT(F23:J23)=5,SUM(F23:J23),"")</f>
        <v/>
      </c>
      <c r="L23" s="3" t="n">
        <v>13.1</v>
      </c>
      <c r="M23" s="3" t="n">
        <v>16.84</v>
      </c>
      <c r="N23" s="3" t="n">
        <v>37.42</v>
      </c>
      <c r="O23" s="4">
        <f>IF(K23="","",N23-K23)</f>
        <v/>
      </c>
      <c r="P23" s="5">
        <f>IF(O23="","",O23/N23)</f>
        <v/>
      </c>
      <c r="U23" t="inlineStr">
        <is>
          <t>NON_DOCUMENTE</t>
        </is>
      </c>
      <c r="V23" s="2">
        <f>IF(OR(F23="",K23=""),"SAMPLE REQUIRED",IF(OR(S23="NON",T23="NON"),"NO GO",IF(AND(K23&lt;=L23,S23="OK",T23="OK",U23&gt;=70),"GO",IF(AND(K23&lt;=M23,S23&lt;&gt;"NON",T23&lt;&gt;"NON",U23&gt;=55),"NEGOTIATE","NO GO"))))</f>
        <v/>
      </c>
      <c r="X23" t="inlineStr">
        <is>
          <t>SAMPLE REQUIRED</t>
        </is>
      </c>
      <c r="Y23" t="inlineStr">
        <is>
          <t>Prix PUBLIC: 'Negotiable FOB' (aucun prix publie). Anciennete plateforme non lue. Ligne wheat bag claim BS 8433:2004 (copie a exiger). Synergie Brasero (cherry stone). SRC: yzdilson.en.made-in-china.com/product-list-1.html</t>
        </is>
      </c>
    </row>
    <row r="24">
      <c r="A24" t="inlineStr">
        <is>
          <t>chaussons-bouillotte-foyer</t>
        </is>
      </c>
      <c r="B24" t="inlineStr">
        <is>
          <t>Yangzhou Bobo's Toy &amp; Gift Co., Ltd.</t>
        </is>
      </c>
      <c r="C24" t="inlineStr">
        <is>
          <t>CN</t>
        </is>
      </c>
      <c r="D24" t="inlineStr">
        <is>
          <t>1000</t>
        </is>
      </c>
      <c r="K24" s="2">
        <f>IF(COUNT(F24:J24)=5,SUM(F24:J24),"")</f>
        <v/>
      </c>
      <c r="L24" s="3" t="n">
        <v>13.1</v>
      </c>
      <c r="M24" s="3" t="n">
        <v>16.84</v>
      </c>
      <c r="N24" s="3" t="n">
        <v>37.42</v>
      </c>
      <c r="O24" s="4">
        <f>IF(K24="","",N24-K24)</f>
        <v/>
      </c>
      <c r="P24" s="5">
        <f>IF(O24="","",O24/N24)</f>
        <v/>
      </c>
      <c r="U24" t="inlineStr">
        <is>
          <t>NON_DOCUMENTE</t>
        </is>
      </c>
      <c r="V24" s="2">
        <f>IF(OR(F24="",K24=""),"SAMPLE REQUIRED",IF(OR(S24="NON",T24="NON"),"NO GO",IF(AND(K24&lt;=L24,S24="OK",T24="OK",U24&gt;=70),"GO",IF(AND(K24&lt;=M24,S24&lt;&gt;"NON",T24&lt;&gt;"NON",U24&gt;=55),"NEGOTIATE","NO GO"))))</f>
        <v/>
      </c>
      <c r="X24" t="inlineStr">
        <is>
          <t>SAMPLE REQUIRED</t>
        </is>
      </c>
      <c r="Y24" t="inlineStr">
        <is>
          <t>Prix PUBLIC: $1.00 (1000-9999999 paires), $4.00 (10M+) - paliers incoherents a confirmer. CAPACITE 5000000/an. RISQUE: derniere connexion plateforme 30/04/2021 (compte dormant) - reserve uniquement. SRC: bobostoygift.en.made-in-china.com/product/hMXnUVNDCORQ/</t>
        </is>
      </c>
    </row>
    <row r="25">
      <c r="A25" t="inlineStr">
        <is>
          <t>chaussons-bouillotte-foyer</t>
        </is>
      </c>
      <c r="B25" t="inlineStr">
        <is>
          <t>Wuhan Pakcare Bio-Technology Co., Ltd.</t>
        </is>
      </c>
      <c r="C25" t="inlineStr">
        <is>
          <t>CN</t>
        </is>
      </c>
      <c r="D25" t="inlineStr">
        <is>
          <t>1000</t>
        </is>
      </c>
      <c r="K25" s="2">
        <f>IF(COUNT(F25:J25)=5,SUM(F25:J25),"")</f>
        <v/>
      </c>
      <c r="L25" s="3" t="n">
        <v>13.1</v>
      </c>
      <c r="M25" s="3" t="n">
        <v>16.84</v>
      </c>
      <c r="N25" s="3" t="n">
        <v>37.42</v>
      </c>
      <c r="O25" s="4">
        <f>IF(K25="","",N25-K25)</f>
        <v/>
      </c>
      <c r="P25" s="5">
        <f>IF(O25="","",O25/N25)</f>
        <v/>
      </c>
      <c r="S25" t="inlineStr">
        <is>
          <t>1</t>
        </is>
      </c>
      <c r="U25" t="inlineStr">
        <is>
          <t>NON_DOCUMENTE</t>
        </is>
      </c>
      <c r="V25" s="2">
        <f>IF(OR(F25="",K25=""),"SAMPLE REQUIRED",IF(OR(S25="NON",T25="NON"),"NO GO",IF(AND(K25&lt;=L25,S25="OK",T25="OK",U25&gt;=70),"GO",IF(AND(K25&lt;=M25,S25&lt;&gt;"NON",T25&lt;&gt;"NON",U25&gt;=55),"NEGOTIATE","NO GO"))))</f>
        <v/>
      </c>
      <c r="X25" t="inlineStr">
        <is>
          <t>SAMPLE REQUIRED</t>
        </is>
      </c>
      <c r="Y25" t="inlineStr">
        <is>
          <t>Prix PUBLIC: $3.69 (1000-4999), $2.59 (5000-9999), $1.99 (&gt;=10000); echantillon $1. 7 ans Alibaba, 5/5(182), on-time&gt;=95%, reorder 21%, marches NL/FI/US. Lead time 50j (1-1000). Emb 30x20x10cm 1kg. Claims CE/ISO + CPSIA SANS copie. SRC: alibaba.com/product-detail/_1601503755938.html</t>
        </is>
      </c>
    </row>
    <row r="26">
      <c r="A26" t="inlineStr">
        <is>
          <t>housse-pare-brise-sentinelle-ST</t>
        </is>
      </c>
      <c r="B26" t="inlineStr">
        <is>
          <t>Colese (Guangzhou) Equipment Co., Ltd.</t>
        </is>
      </c>
      <c r="C26" t="inlineStr">
        <is>
          <t>CN</t>
        </is>
      </c>
      <c r="D26" t="inlineStr">
        <is>
          <t>20</t>
        </is>
      </c>
      <c r="E26" t="inlineStr"/>
      <c r="F26" t="inlineStr"/>
      <c r="G26" t="inlineStr"/>
      <c r="H26" t="inlineStr"/>
      <c r="I26" t="inlineStr"/>
      <c r="J26" t="inlineStr"/>
      <c r="K26" s="2">
        <f>IF(COUNT(F26:J26)=5,SUM(F26:J26),"")</f>
        <v/>
      </c>
      <c r="L26" s="3" t="n">
        <v>10.18</v>
      </c>
      <c r="M26" s="3" t="n">
        <v>13.09</v>
      </c>
      <c r="N26" s="3" t="n">
        <v>29.08</v>
      </c>
      <c r="O26" s="4">
        <f>IF(K26="","",N26-K26)</f>
        <v/>
      </c>
      <c r="P26" s="5">
        <f>IF(O26="","",O26/N26)</f>
        <v/>
      </c>
      <c r="Q26" t="inlineStr"/>
      <c r="R26" t="inlineStr"/>
      <c r="S26" t="inlineStr"/>
      <c r="T26" t="inlineStr"/>
      <c r="U26" t="inlineStr">
        <is>
          <t>NON_DOCUMENTE</t>
        </is>
      </c>
      <c r="V26" s="2">
        <f>IF(OR(F26="",K26=""),"SAMPLE REQUIRED",IF(OR(S26="NON",T26="NON"),"NO GO",IF(AND(K26&lt;=L26,S26="OK",T26="OK",U26&gt;=70),"GO",IF(AND(K26&lt;=M26,S26&lt;&gt;"NON",T26&lt;&gt;"NON",U26&gt;=55),"NEGOTIATE","NO GO"))))</f>
        <v/>
      </c>
      <c r="W26" t="inlineStr"/>
      <c r="X26" t="inlineStr">
        <is>
          <t>SAMPLE REQUIRED</t>
        </is>
      </c>
      <c r="Y26" t="inlineStr">
        <is>
          <t>Prix PUBLIC $12.30-13.30 (MOQ 20) AU-DESSUS cible -&gt; exiger paliers 300/500/1000. 1 an Alibaba, 4.9/5(131), on-time&gt;=100%. Fret mer des $0.84/kg 17-24j. Tailles 183x116/193x126. SRC alibaba 1601918322451</t>
        </is>
      </c>
    </row>
    <row r="27">
      <c r="A27" t="inlineStr">
        <is>
          <t>housse-pare-brise-sentinelle-ST</t>
        </is>
      </c>
      <c r="B27" t="inlineStr">
        <is>
          <t>Ningbo Jiangbei JK Auto Accessories Co., Ltd.</t>
        </is>
      </c>
      <c r="C27" t="inlineStr">
        <is>
          <t>CN</t>
        </is>
      </c>
      <c r="D27" t="inlineStr">
        <is>
          <t>500</t>
        </is>
      </c>
      <c r="E27" t="inlineStr"/>
      <c r="F27" t="inlineStr"/>
      <c r="G27" t="inlineStr"/>
      <c r="H27" t="inlineStr"/>
      <c r="I27" t="inlineStr"/>
      <c r="J27" t="inlineStr"/>
      <c r="K27" s="2">
        <f>IF(COUNT(F27:J27)=5,SUM(F27:J27),"")</f>
        <v/>
      </c>
      <c r="L27" s="3" t="n">
        <v>10.18</v>
      </c>
      <c r="M27" s="3" t="n">
        <v>13.09</v>
      </c>
      <c r="N27" s="3" t="n">
        <v>29.08</v>
      </c>
      <c r="O27" s="4">
        <f>IF(K27="","",N27-K27)</f>
        <v/>
      </c>
      <c r="P27" s="5">
        <f>IF(O27="","",O27/N27)</f>
        <v/>
      </c>
      <c r="Q27" t="inlineStr"/>
      <c r="R27" t="inlineStr"/>
      <c r="S27" t="inlineStr">
        <is>
          <t>9</t>
        </is>
      </c>
      <c r="T27" t="inlineStr"/>
      <c r="U27" t="inlineStr">
        <is>
          <t>NON_DOCUMENTE</t>
        </is>
      </c>
      <c r="V27" s="2">
        <f>IF(OR(F27="",K27=""),"SAMPLE REQUIRED",IF(OR(S27="NON",T27="NON"),"NO GO",IF(AND(K27&lt;=L27,S27="OK",T27="OK",U27&gt;=70),"GO",IF(AND(K27&lt;=M27,S27&lt;&gt;"NON",T27&lt;&gt;"NON",U27&gt;=55),"NEGOTIATE","NO GO"))))</f>
        <v/>
      </c>
      <c r="W27" t="inlineStr"/>
      <c r="X27" t="inlineStr">
        <is>
          <t>SAMPLE REQUIRED</t>
        </is>
      </c>
      <c r="Y27" t="inlineStr">
        <is>
          <t>Prix PUBLIC $3.26 MOQ 500. Gold 2018 + Audited Supplier. Garantie 1 an, after-sales yes, custom available. SRC coverabc.en.made-in-china.com GjXJTrFBAdWp</t>
        </is>
      </c>
    </row>
    <row r="28">
      <c r="A28" t="inlineStr">
        <is>
          <t>housse-pare-brise-sentinelle-ST</t>
        </is>
      </c>
      <c r="B28" t="inlineStr">
        <is>
          <t>Dongguan Joyart Auto Accessories Products Co., Ltd.</t>
        </is>
      </c>
      <c r="C28" t="inlineStr">
        <is>
          <t>CN</t>
        </is>
      </c>
      <c r="D28" t="inlineStr">
        <is>
          <t>20</t>
        </is>
      </c>
      <c r="E28" t="inlineStr"/>
      <c r="F28" t="inlineStr"/>
      <c r="G28" t="inlineStr"/>
      <c r="H28" t="inlineStr"/>
      <c r="I28" t="inlineStr"/>
      <c r="J28" t="inlineStr"/>
      <c r="K28" s="2">
        <f>IF(COUNT(F28:J28)=5,SUM(F28:J28),"")</f>
        <v/>
      </c>
      <c r="L28" s="3" t="n">
        <v>10.18</v>
      </c>
      <c r="M28" s="3" t="n">
        <v>13.09</v>
      </c>
      <c r="N28" s="3" t="n">
        <v>29.08</v>
      </c>
      <c r="O28" s="4">
        <f>IF(K28="","",N28-K28)</f>
        <v/>
      </c>
      <c r="P28" s="5">
        <f>IF(O28="","",O28/N28)</f>
        <v/>
      </c>
      <c r="Q28" t="inlineStr"/>
      <c r="R28" t="inlineStr"/>
      <c r="S28" t="inlineStr">
        <is>
          <t>6</t>
        </is>
      </c>
      <c r="T28" t="inlineStr"/>
      <c r="U28" t="inlineStr">
        <is>
          <t>NON_DOCUMENTE</t>
        </is>
      </c>
      <c r="V28" s="2">
        <f>IF(OR(F28="",K28=""),"SAMPLE REQUIRED",IF(OR(S28="NON",T28="NON"),"NO GO",IF(AND(K28&lt;=L28,S28="OK",T28="OK",U28&gt;=70),"GO",IF(AND(K28&lt;=M28,S28&lt;&gt;"NON",T28&lt;&gt;"NON",U28&gt;=55),"NEGOTIATE","NO GO"))))</f>
        <v/>
      </c>
      <c r="W28" t="inlineStr"/>
      <c r="X28" t="inlineStr">
        <is>
          <t>SAMPLE REQUIRED</t>
        </is>
      </c>
      <c r="Y28" t="inlineStr">
        <is>
          <t>Prix PUBLIC $3.46/$2.87/$1.87 (20/100/50000). 10 ans, 4.5/5(1487), on-time&gt;=93%, reorder 21%, marches US/UK/BR/AU/CA. PEVA alu. SRC alibaba 1600930185415</t>
        </is>
      </c>
    </row>
    <row r="29">
      <c r="A29" t="inlineStr">
        <is>
          <t>housse-pare-brise-sentinelle-ST</t>
        </is>
      </c>
      <c r="B29" t="inlineStr">
        <is>
          <t>Zhejiang Yiwu Jiangnan Waterproof Co., Ltd.</t>
        </is>
      </c>
      <c r="C29" t="inlineStr">
        <is>
          <t>CN</t>
        </is>
      </c>
      <c r="D29" t="inlineStr">
        <is>
          <t>500</t>
        </is>
      </c>
      <c r="E29" t="inlineStr"/>
      <c r="F29" t="inlineStr"/>
      <c r="G29" t="inlineStr"/>
      <c r="H29" t="inlineStr"/>
      <c r="I29" t="inlineStr"/>
      <c r="J29" t="inlineStr"/>
      <c r="K29" s="2">
        <f>IF(COUNT(F29:J29)=5,SUM(F29:J29),"")</f>
        <v/>
      </c>
      <c r="L29" s="3" t="n">
        <v>10.18</v>
      </c>
      <c r="M29" s="3" t="n">
        <v>13.09</v>
      </c>
      <c r="N29" s="3" t="n">
        <v>29.08</v>
      </c>
      <c r="O29" s="4">
        <f>IF(K29="","",N29-K29)</f>
        <v/>
      </c>
      <c r="P29" s="5">
        <f>IF(O29="","",O29/N29)</f>
        <v/>
      </c>
      <c r="Q29" t="inlineStr"/>
      <c r="R29" t="inlineStr"/>
      <c r="S29" t="inlineStr"/>
      <c r="T29" t="inlineStr"/>
      <c r="U29" t="inlineStr">
        <is>
          <t>NON_DOCUMENTE</t>
        </is>
      </c>
      <c r="V29" s="2">
        <f>IF(OR(F29="",K29=""),"SAMPLE REQUIRED",IF(OR(S29="NON",T29="NON"),"NO GO",IF(AND(K29&lt;=L29,S29="OK",T29="OK",U29&gt;=70),"GO",IF(AND(K29&lt;=M29,S29&lt;&gt;"NON",T29&lt;&gt;"NON",U29&gt;=55),"NEGOTIATE","NO GO"))))</f>
        <v/>
      </c>
      <c r="W29" t="inlineStr"/>
      <c r="X29" t="inlineStr">
        <is>
          <t>SAMPLE REQUIRED</t>
        </is>
      </c>
      <c r="Y29" t="inlineStr">
        <is>
          <t>Prix PUBLIC $2.6-8 (sun shade)/$4.75-5 (half cover) MOQ 500. Fabricant tissu impermeable (integration matiere). Anciennete plateforme A SOURCER. SRC ywjiangnancoating.goldsupplier.com</t>
        </is>
      </c>
    </row>
    <row r="30">
      <c r="A30" t="inlineStr">
        <is>
          <t>housse-pare-brise-sentinelle-ST</t>
        </is>
      </c>
      <c r="B30" t="inlineStr">
        <is>
          <t>Linqing City Fangkun Outdoor Products Factory</t>
        </is>
      </c>
      <c r="C30" t="inlineStr">
        <is>
          <t>CN</t>
        </is>
      </c>
      <c r="D30" t="inlineStr">
        <is>
          <t>5</t>
        </is>
      </c>
      <c r="E30" t="inlineStr"/>
      <c r="F30" t="inlineStr"/>
      <c r="G30" t="inlineStr"/>
      <c r="H30" t="inlineStr"/>
      <c r="I30" t="inlineStr"/>
      <c r="J30" t="inlineStr"/>
      <c r="K30" s="2">
        <f>IF(COUNT(F30:J30)=5,SUM(F30:J30),"")</f>
        <v/>
      </c>
      <c r="L30" s="3" t="n">
        <v>10.18</v>
      </c>
      <c r="M30" s="3" t="n">
        <v>13.09</v>
      </c>
      <c r="N30" s="3" t="n">
        <v>29.08</v>
      </c>
      <c r="O30" s="4">
        <f>IF(K30="","",N30-K30)</f>
        <v/>
      </c>
      <c r="P30" s="5">
        <f>IF(O30="","",O30/N30)</f>
        <v/>
      </c>
      <c r="Q30" t="inlineStr"/>
      <c r="R30" t="inlineStr"/>
      <c r="S30" t="inlineStr"/>
      <c r="T30" t="inlineStr"/>
      <c r="U30" t="inlineStr">
        <is>
          <t>NON_DOCUMENTE</t>
        </is>
      </c>
      <c r="V30" s="2">
        <f>IF(OR(F30="",K30=""),"SAMPLE REQUIRED",IF(OR(S30="NON",T30="NON"),"NO GO",IF(AND(K30&lt;=L30,S30="OK",T30="OK",U30&gt;=70),"GO",IF(AND(K30&lt;=M30,S30&lt;&gt;"NON",T30&lt;&gt;"NON",U30&gt;=55),"NEGOTIATE","NO GO"))))</f>
        <v/>
      </c>
      <c r="W30" t="inlineStr"/>
      <c r="X30" t="inlineStr">
        <is>
          <t>SAMPLE REQUIRED</t>
        </is>
      </c>
      <c r="Y30" t="inlineStr">
        <is>
          <t>Prix PUBLIC $5 MOQ 5. 7 ans, 4.5/5(50), ON-TIME 68% RISQUE, reorder 5%. Tailles 145x113/160x116, PEVA 3mil, echantillon 5-7j. SRC alibaba 1601848541857</t>
        </is>
      </c>
    </row>
    <row r="31">
      <c r="A31" t="inlineStr">
        <is>
          <t>chaussettes-polaires-nuage</t>
        </is>
      </c>
      <c r="B31" t="inlineStr">
        <is>
          <t>Zhuji Tingnuan Knitting Co., Ltd.</t>
        </is>
      </c>
      <c r="C31" t="inlineStr">
        <is>
          <t>CN</t>
        </is>
      </c>
      <c r="D31" t="inlineStr">
        <is>
          <t>10</t>
        </is>
      </c>
      <c r="E31" t="inlineStr"/>
      <c r="F31" t="inlineStr"/>
      <c r="G31" t="inlineStr"/>
      <c r="H31" t="inlineStr"/>
      <c r="I31" t="inlineStr"/>
      <c r="J31" t="inlineStr"/>
      <c r="K31" s="2">
        <f>IF(COUNT(F31:J31)=5,SUM(F31:J31),"")</f>
        <v/>
      </c>
      <c r="L31" s="3" t="n">
        <v>7.26</v>
      </c>
      <c r="M31" s="3" t="n">
        <v>9.34</v>
      </c>
      <c r="N31" s="3" t="n">
        <v>20.75</v>
      </c>
      <c r="O31" s="4">
        <f>IF(K31="","",N31-K31)</f>
        <v/>
      </c>
      <c r="P31" s="5">
        <f>IF(O31="","",O31/N31)</f>
        <v/>
      </c>
      <c r="Q31" t="inlineStr"/>
      <c r="R31" t="inlineStr"/>
      <c r="S31" t="inlineStr">
        <is>
          <t>3</t>
        </is>
      </c>
      <c r="T31" t="inlineStr"/>
      <c r="U31" t="inlineStr">
        <is>
          <t>NON_DOCUMENTE</t>
        </is>
      </c>
      <c r="V31" s="2">
        <f>IF(OR(F31="",K31=""),"SAMPLE REQUIRED",IF(OR(S31="NON",T31="NON"),"NO GO",IF(AND(K31&lt;=L31,S31="OK",T31="OK",U31&gt;=70),"GO",IF(AND(K31&lt;=M31,S31&lt;&gt;"NON",T31&lt;&gt;"NON",U31&gt;=55),"NEGOTIATE","NO GO"))))</f>
        <v/>
      </c>
      <c r="W31" t="inlineStr"/>
      <c r="X31" t="inlineStr">
        <is>
          <t>SAMPLE REQUIRED</t>
        </is>
      </c>
      <c r="Y31" t="inlineStr">
        <is>
          <t>Prix PUBLIC $0.71-1.20 (promo -20%) MOQ 10 paires. 2 ans, 4.8/5(206), on-time&gt;=96%, marches dont FR. Logo brode, ODM. Needle detection NO -&gt; a exiger. SRC alibaba 1601430677293</t>
        </is>
      </c>
    </row>
    <row r="32">
      <c r="A32" t="inlineStr">
        <is>
          <t>chaussettes-polaires-nuage</t>
        </is>
      </c>
      <c r="B32" t="inlineStr">
        <is>
          <t>Yiwu Bangmu Import And Export Co., Ltd.</t>
        </is>
      </c>
      <c r="C32" t="inlineStr">
        <is>
          <t>CN</t>
        </is>
      </c>
      <c r="D32" t="inlineStr">
        <is>
          <t>10</t>
        </is>
      </c>
      <c r="E32" t="inlineStr"/>
      <c r="F32" t="inlineStr"/>
      <c r="G32" t="inlineStr"/>
      <c r="H32" t="inlineStr"/>
      <c r="I32" t="inlineStr"/>
      <c r="J32" t="inlineStr"/>
      <c r="K32" s="2">
        <f>IF(COUNT(F32:J32)=5,SUM(F32:J32),"")</f>
        <v/>
      </c>
      <c r="L32" s="3" t="n">
        <v>7.26</v>
      </c>
      <c r="M32" s="3" t="n">
        <v>9.34</v>
      </c>
      <c r="N32" s="3" t="n">
        <v>20.75</v>
      </c>
      <c r="O32" s="4">
        <f>IF(K32="","",N32-K32)</f>
        <v/>
      </c>
      <c r="P32" s="5">
        <f>IF(O32="","",O32/N32)</f>
        <v/>
      </c>
      <c r="Q32" t="inlineStr"/>
      <c r="R32" t="inlineStr"/>
      <c r="S32" t="inlineStr"/>
      <c r="T32" t="inlineStr"/>
      <c r="U32" t="inlineStr">
        <is>
          <t>NON_DOCUMENTE</t>
        </is>
      </c>
      <c r="V32" s="2">
        <f>IF(OR(F32="",K32=""),"SAMPLE REQUIRED",IF(OR(S32="NON",T32="NON"),"NO GO",IF(AND(K32&lt;=L32,S32="OK",T32="OK",U32&gt;=70),"GO",IF(AND(K32&lt;=M32,S32&lt;&gt;"NON",T32&lt;&gt;"NON",U32&gt;=55),"NEGOTIATE","NO GO"))))</f>
        <v/>
      </c>
      <c r="W32" t="inlineStr"/>
      <c r="X32" t="inlineStr">
        <is>
          <t>SAMPLE REQUIRED</t>
        </is>
      </c>
      <c r="Y32" t="inlineStr">
        <is>
          <t>Prix PUBLIC $0.49 MOQ 10. 3 ans, 4.8/5(316), on-time&gt;=99%. TRADING company. SRC alibaba 1601605655478</t>
        </is>
      </c>
    </row>
    <row r="33">
      <c r="A33" t="inlineStr">
        <is>
          <t>chaussettes-polaires-nuage</t>
        </is>
      </c>
      <c r="B33" t="inlineStr">
        <is>
          <t>Yiwu Haigu Trading Co., Ltd.</t>
        </is>
      </c>
      <c r="C33" t="inlineStr">
        <is>
          <t>CN</t>
        </is>
      </c>
      <c r="D33" t="inlineStr">
        <is>
          <t>50</t>
        </is>
      </c>
      <c r="E33" t="inlineStr"/>
      <c r="F33" t="inlineStr"/>
      <c r="G33" t="inlineStr"/>
      <c r="H33" t="inlineStr"/>
      <c r="I33" t="inlineStr"/>
      <c r="J33" t="inlineStr"/>
      <c r="K33" s="2">
        <f>IF(COUNT(F33:J33)=5,SUM(F33:J33),"")</f>
        <v/>
      </c>
      <c r="L33" s="3" t="n">
        <v>7.26</v>
      </c>
      <c r="M33" s="3" t="n">
        <v>9.34</v>
      </c>
      <c r="N33" s="3" t="n">
        <v>20.75</v>
      </c>
      <c r="O33" s="4">
        <f>IF(K33="","",N33-K33)</f>
        <v/>
      </c>
      <c r="P33" s="5">
        <f>IF(O33="","",O33/N33)</f>
        <v/>
      </c>
      <c r="Q33" t="inlineStr"/>
      <c r="R33" t="inlineStr"/>
      <c r="S33" t="inlineStr">
        <is>
          <t>10</t>
        </is>
      </c>
      <c r="T33" t="inlineStr"/>
      <c r="U33" t="inlineStr">
        <is>
          <t>NON_DOCUMENTE</t>
        </is>
      </c>
      <c r="V33" s="2">
        <f>IF(OR(F33="",K33=""),"SAMPLE REQUIRED",IF(OR(S33="NON",T33="NON"),"NO GO",IF(AND(K33&lt;=L33,S33="OK",T33="OK",U33&gt;=70),"GO",IF(AND(K33&lt;=M33,S33&lt;&gt;"NON",T33&lt;&gt;"NON",U33&gt;=55),"NEGOTIATE","NO GO"))))</f>
        <v/>
      </c>
      <c r="W33" t="inlineStr"/>
      <c r="X33" t="inlineStr">
        <is>
          <t>SAMPLE REQUIRED</t>
        </is>
      </c>
      <c r="Y33" t="inlineStr">
        <is>
          <t>Prix PUBLIC $0.52/0.50/0.49/0.49 (50/500/1000/5000). 7 ans, 4.3/5(1240), on-time&gt;=100%, reorder 21%. Colis 17x8x5 0.120kg, lead 14j, needle detection YES. TRADING. SRC alibaba 1601530178967</t>
        </is>
      </c>
    </row>
    <row r="34">
      <c r="A34" t="inlineStr">
        <is>
          <t>chaussettes-polaires-nuage</t>
        </is>
      </c>
      <c r="B34" t="inlineStr">
        <is>
          <t>Hangzhou Hanxiang Imp. &amp; Exp. Co., Ltd.</t>
        </is>
      </c>
      <c r="C34" t="inlineStr">
        <is>
          <t>CN</t>
        </is>
      </c>
      <c r="D34" t="inlineStr">
        <is>
          <t>500</t>
        </is>
      </c>
      <c r="E34" t="inlineStr"/>
      <c r="F34" t="inlineStr"/>
      <c r="G34" t="inlineStr"/>
      <c r="H34" t="inlineStr"/>
      <c r="I34" t="inlineStr"/>
      <c r="J34" t="inlineStr"/>
      <c r="K34" s="2">
        <f>IF(COUNT(F34:J34)=5,SUM(F34:J34),"")</f>
        <v/>
      </c>
      <c r="L34" s="3" t="n">
        <v>7.26</v>
      </c>
      <c r="M34" s="3" t="n">
        <v>9.34</v>
      </c>
      <c r="N34" s="3" t="n">
        <v>20.75</v>
      </c>
      <c r="O34" s="4">
        <f>IF(K34="","",N34-K34)</f>
        <v/>
      </c>
      <c r="P34" s="5">
        <f>IF(O34="","",O34/N34)</f>
        <v/>
      </c>
      <c r="Q34" t="inlineStr"/>
      <c r="R34" t="inlineStr"/>
      <c r="S34" t="inlineStr"/>
      <c r="T34" t="inlineStr"/>
      <c r="U34" t="inlineStr">
        <is>
          <t>NON_DOCUMENTE</t>
        </is>
      </c>
      <c r="V34" s="2">
        <f>IF(OR(F34="",K34=""),"SAMPLE REQUIRED",IF(OR(S34="NON",T34="NON"),"NO GO",IF(AND(K34&lt;=L34,S34="OK",T34="OK",U34&gt;=70),"GO",IF(AND(K34&lt;=M34,S34&lt;&gt;"NON",T34&lt;&gt;"NON",U34&gt;=55),"NEGOTIATE","NO GO"))))</f>
        <v/>
      </c>
      <c r="W34" t="inlineStr"/>
      <c r="X34" t="inlineStr">
        <is>
          <t>SAMPLE REQUIRED</t>
        </is>
      </c>
      <c r="Y34" t="inlineStr">
        <is>
          <t>FOB PUBLIC $0.60-0.85/paire (lignes coton). Compte MIC 2013, ISO 9000, OEM/ODM, FOB/CIF, LC-T/T, export&gt;90%. Ligne coral fleece a confirmer RFQ. SRC hzhanxiang.en.made-in-china.com</t>
        </is>
      </c>
    </row>
    <row r="35">
      <c r="A35" t="inlineStr">
        <is>
          <t>chaussettes-polaires-nuage</t>
        </is>
      </c>
      <c r="B35" t="inlineStr">
        <is>
          <t>Shijiazhuang Aishangxin Imp&amp;Exp Co., Ltd.</t>
        </is>
      </c>
      <c r="C35" t="inlineStr">
        <is>
          <t>CN</t>
        </is>
      </c>
      <c r="D35" t="inlineStr"/>
      <c r="E35" t="inlineStr"/>
      <c r="F35" t="inlineStr"/>
      <c r="G35" t="inlineStr"/>
      <c r="H35" t="inlineStr"/>
      <c r="I35" t="inlineStr"/>
      <c r="J35" t="inlineStr"/>
      <c r="K35" s="2">
        <f>IF(COUNT(F35:J35)=5,SUM(F35:J35),"")</f>
        <v/>
      </c>
      <c r="L35" s="3" t="n">
        <v>7.26</v>
      </c>
      <c r="M35" s="3" t="n">
        <v>9.34</v>
      </c>
      <c r="N35" s="3" t="n">
        <v>20.75</v>
      </c>
      <c r="O35" s="4">
        <f>IF(K35="","",N35-K35)</f>
        <v/>
      </c>
      <c r="P35" s="5">
        <f>IF(O35="","",O35/N35)</f>
        <v/>
      </c>
      <c r="Q35" t="inlineStr"/>
      <c r="R35" t="inlineStr"/>
      <c r="S35" t="inlineStr"/>
      <c r="T35" t="inlineStr"/>
      <c r="U35" t="inlineStr">
        <is>
          <t>NON_DOCUMENTE</t>
        </is>
      </c>
      <c r="V35" s="2">
        <f>IF(OR(F35="",K35=""),"SAMPLE REQUIRED",IF(OR(S35="NON",T35="NON"),"NO GO",IF(AND(K35&lt;=L35,S35="OK",T35="OK",U35&gt;=70),"GO",IF(AND(K35&lt;=M35,S35&lt;&gt;"NON",T35&lt;&gt;"NON",U35&gt;=55),"NEGOTIATE","NO GO"))))</f>
        <v/>
      </c>
      <c r="W35" t="inlineStr"/>
      <c r="X35" t="inlineStr">
        <is>
          <t>SAMPLE REQUIRED</t>
        </is>
      </c>
      <c r="Y35" t="inlineStr">
        <is>
          <t>Prix non publie. Gold 2026 + Audited, repeat 80-100% (claim), OEM/ODM. RISQUE: etablie 2023-09, trading, capital 100k RMB. SRC aishangxin.en.made-in-china.com</t>
        </is>
      </c>
    </row>
    <row r="36">
      <c r="A36" t="inlineStr">
        <is>
          <t>plaid-sherpa-nid</t>
        </is>
      </c>
      <c r="B36" t="inlineStr">
        <is>
          <t>Shaoxing Renran Textile Co., Ltd.</t>
        </is>
      </c>
      <c r="C36" t="inlineStr">
        <is>
          <t>CN</t>
        </is>
      </c>
      <c r="D36" t="inlineStr">
        <is>
          <t>300</t>
        </is>
      </c>
      <c r="E36" t="inlineStr"/>
      <c r="F36" t="inlineStr"/>
      <c r="G36" t="inlineStr"/>
      <c r="H36" t="inlineStr"/>
      <c r="I36" t="inlineStr"/>
      <c r="J36" t="inlineStr"/>
      <c r="K36" s="2">
        <f>IF(COUNT(F36:J36)=5,SUM(F36:J36),"")</f>
        <v/>
      </c>
      <c r="L36" s="3" t="n">
        <v>17.47</v>
      </c>
      <c r="M36" s="3" t="n">
        <v>22.46</v>
      </c>
      <c r="N36" s="3" t="n">
        <v>49.92</v>
      </c>
      <c r="O36" s="4">
        <f>IF(K36="","",N36-K36)</f>
        <v/>
      </c>
      <c r="P36" s="5">
        <f>IF(O36="","",O36/N36)</f>
        <v/>
      </c>
      <c r="Q36" t="inlineStr"/>
      <c r="R36" t="inlineStr"/>
      <c r="S36" t="inlineStr">
        <is>
          <t>25</t>
        </is>
      </c>
      <c r="T36" t="inlineStr"/>
      <c r="U36" t="inlineStr">
        <is>
          <t>NON_DOCUMENTE</t>
        </is>
      </c>
      <c r="V36" s="2">
        <f>IF(OR(F36="",K36=""),"SAMPLE REQUIRED",IF(OR(S36="NON",T36="NON"),"NO GO",IF(AND(K36&lt;=L36,S36="OK",T36="OK",U36&gt;=70),"GO",IF(AND(K36&lt;=M36,S36&lt;&gt;"NON",T36&lt;&gt;"NON",U36&gt;=55),"NEGOTIATE","NO GO"))))</f>
        <v/>
      </c>
      <c r="W36" t="inlineStr"/>
      <c r="X36" t="inlineStr">
        <is>
          <t>SAMPLE REQUIRED</t>
        </is>
      </c>
      <c r="Y36" t="inlineStr">
        <is>
          <t>Prix PUBLIC $5.20/$3.80/$3.50 (300/3000/10000). 9 ans, 5/5(17), on-time&gt;=100%, marches dont FR/NL/NO. Anti-pilling, custom logo. Taille publiee 50x60in -&gt; 150x200 via RFQ. SRC alibaba 1600595598039</t>
        </is>
      </c>
    </row>
    <row r="37">
      <c r="A37" t="inlineStr">
        <is>
          <t>plaid-sherpa-nid</t>
        </is>
      </c>
      <c r="B37" t="inlineStr">
        <is>
          <t>Shanghai Tuoxin International Trading Co., Ltd.</t>
        </is>
      </c>
      <c r="C37" t="inlineStr">
        <is>
          <t>CN</t>
        </is>
      </c>
      <c r="D37" t="inlineStr">
        <is>
          <t>300</t>
        </is>
      </c>
      <c r="E37" t="inlineStr"/>
      <c r="F37" t="inlineStr"/>
      <c r="G37" t="inlineStr"/>
      <c r="H37" t="inlineStr"/>
      <c r="I37" t="inlineStr"/>
      <c r="J37" t="inlineStr"/>
      <c r="K37" s="2">
        <f>IF(COUNT(F37:J37)=5,SUM(F37:J37),"")</f>
        <v/>
      </c>
      <c r="L37" s="3" t="n">
        <v>17.47</v>
      </c>
      <c r="M37" s="3" t="n">
        <v>22.46</v>
      </c>
      <c r="N37" s="3" t="n">
        <v>49.92</v>
      </c>
      <c r="O37" s="4">
        <f>IF(K37="","",N37-K37)</f>
        <v/>
      </c>
      <c r="P37" s="5">
        <f>IF(O37="","",O37/N37)</f>
        <v/>
      </c>
      <c r="Q37" t="inlineStr"/>
      <c r="R37" t="inlineStr"/>
      <c r="S37" t="inlineStr"/>
      <c r="T37" t="inlineStr"/>
      <c r="U37" t="inlineStr">
        <is>
          <t>NON_DOCUMENTE</t>
        </is>
      </c>
      <c r="V37" s="2">
        <f>IF(OR(F37="",K37=""),"SAMPLE REQUIRED",IF(OR(S37="NON",T37="NON"),"NO GO",IF(AND(K37&lt;=L37,S37="OK",T37="OK",U37&gt;=70),"GO",IF(AND(K37&lt;=M37,S37&lt;&gt;"NON",T37&lt;&gt;"NON",U37&gt;=55),"NEGOTIATE","NO GO"))))</f>
        <v/>
      </c>
      <c r="W37" t="inlineStr"/>
      <c r="X37" t="inlineStr">
        <is>
          <t>SAMPLE REQUIRED</t>
        </is>
      </c>
      <c r="Y37" t="inlineStr">
        <is>
          <t>Prix PUBLIC $8.49/$6.74/$6.36. 2 ans, label Fortune 500, 5/5(34), on-time&gt;=100%, reorder 29%. Custom size MOQ 1000. Fret $408/300pcs 17-24j. TRADING. Badge certified sans copie. SRC alibaba 1601491684279</t>
        </is>
      </c>
    </row>
    <row r="38">
      <c r="A38" t="inlineStr">
        <is>
          <t>plaid-sherpa-nid</t>
        </is>
      </c>
      <c r="B38" t="inlineStr">
        <is>
          <t>Ningbo V.K. Industry And Trading Co., Ltd.</t>
        </is>
      </c>
      <c r="C38" t="inlineStr">
        <is>
          <t>CN</t>
        </is>
      </c>
      <c r="D38" t="inlineStr">
        <is>
          <t>300</t>
        </is>
      </c>
      <c r="E38" t="inlineStr"/>
      <c r="F38" t="inlineStr"/>
      <c r="G38" t="inlineStr"/>
      <c r="H38" t="inlineStr"/>
      <c r="I38" t="inlineStr"/>
      <c r="J38" t="inlineStr"/>
      <c r="K38" s="2">
        <f>IF(COUNT(F38:J38)=5,SUM(F38:J38),"")</f>
        <v/>
      </c>
      <c r="L38" s="3" t="n">
        <v>17.47</v>
      </c>
      <c r="M38" s="3" t="n">
        <v>22.46</v>
      </c>
      <c r="N38" s="3" t="n">
        <v>49.92</v>
      </c>
      <c r="O38" s="4">
        <f>IF(K38="","",N38-K38)</f>
        <v/>
      </c>
      <c r="P38" s="5">
        <f>IF(O38="","",O38/N38)</f>
        <v/>
      </c>
      <c r="Q38" t="inlineStr"/>
      <c r="R38" t="inlineStr"/>
      <c r="S38" t="inlineStr">
        <is>
          <t>20</t>
        </is>
      </c>
      <c r="T38" t="inlineStr"/>
      <c r="U38" t="inlineStr">
        <is>
          <t>NON_DOCUMENTE</t>
        </is>
      </c>
      <c r="V38" s="2">
        <f>IF(OR(F38="",K38=""),"SAMPLE REQUIRED",IF(OR(S38="NON",T38="NON"),"NO GO",IF(AND(K38&lt;=L38,S38="OK",T38="OK",U38&gt;=70),"GO",IF(AND(K38&lt;=M38,S38&lt;&gt;"NON",T38&lt;&gt;"NON",U38&gt;=55),"NEGOTIATE","NO GO"))))</f>
        <v/>
      </c>
      <c r="W38" t="inlineStr"/>
      <c r="X38" t="inlineStr">
        <is>
          <t>SAMPLE REQUIRED</t>
        </is>
      </c>
      <c r="Y38" t="inlineStr">
        <is>
          <t>Prix PUBLIC $3.60-11.49 MOQ 300 (ready-to-ship sans MOQ). 12 ans, Diamond 2015, Audited. ISO+BSCI claims. Capacite 500000. Echantillon remboursable, bulk 25-45j. SRC dunhuang.en.made-in-china.com SZrGVYaCHKAf</t>
        </is>
      </c>
    </row>
    <row r="39">
      <c r="A39" t="inlineStr">
        <is>
          <t>plaid-sherpa-nid</t>
        </is>
      </c>
      <c r="B39" t="inlineStr">
        <is>
          <t>Hangzhou Hanxiang Imp. &amp; Exp. Co., Ltd.</t>
        </is>
      </c>
      <c r="C39" t="inlineStr">
        <is>
          <t>CN</t>
        </is>
      </c>
      <c r="D39" t="inlineStr">
        <is>
          <t>500</t>
        </is>
      </c>
      <c r="E39" t="inlineStr"/>
      <c r="F39" t="inlineStr"/>
      <c r="G39" t="inlineStr"/>
      <c r="H39" t="inlineStr"/>
      <c r="I39" t="inlineStr"/>
      <c r="J39" t="inlineStr"/>
      <c r="K39" s="2">
        <f>IF(COUNT(F39:J39)=5,SUM(F39:J39),"")</f>
        <v/>
      </c>
      <c r="L39" s="3" t="n">
        <v>17.47</v>
      </c>
      <c r="M39" s="3" t="n">
        <v>22.46</v>
      </c>
      <c r="N39" s="3" t="n">
        <v>49.92</v>
      </c>
      <c r="O39" s="4">
        <f>IF(K39="","",N39-K39)</f>
        <v/>
      </c>
      <c r="P39" s="5">
        <f>IF(O39="","",O39/N39)</f>
        <v/>
      </c>
      <c r="Q39" t="inlineStr"/>
      <c r="R39" t="inlineStr"/>
      <c r="S39" t="inlineStr"/>
      <c r="T39" t="inlineStr"/>
      <c r="U39" t="inlineStr">
        <is>
          <t>NON_DOCUMENTE</t>
        </is>
      </c>
      <c r="V39" s="2">
        <f>IF(OR(F39="",K39=""),"SAMPLE REQUIRED",IF(OR(S39="NON",T39="NON"),"NO GO",IF(AND(K39&lt;=L39,S39="OK",T39="OK",U39&gt;=70),"GO",IF(AND(K39&lt;=M39,S39&lt;&gt;"NON",T39&lt;&gt;"NON",U39&gt;=55),"NEGOTIATE","NO GO"))))</f>
        <v/>
      </c>
      <c r="W39" t="inlineStr"/>
      <c r="X39" t="inlineStr">
        <is>
          <t>SAMPLE REQUIRED</t>
        </is>
      </c>
      <c r="Y39" t="inlineStr">
        <is>
          <t>Blanket = main product liste; prix fleece A SOURCER. ISO 9000, FOB/CIF. Cross-listing Nuage. SRC hzhanxiang.en.made-in-china.com</t>
        </is>
      </c>
    </row>
    <row r="40">
      <c r="A40" t="inlineStr">
        <is>
          <t>plaid-sherpa-nid</t>
        </is>
      </c>
      <c r="B40" t="inlineStr">
        <is>
          <t>Nantong Longdu Home Textile Co., Ltd.</t>
        </is>
      </c>
      <c r="C40" t="inlineStr">
        <is>
          <t>CN</t>
        </is>
      </c>
      <c r="D40" t="inlineStr">
        <is>
          <t>100</t>
        </is>
      </c>
      <c r="E40" t="inlineStr"/>
      <c r="F40" t="inlineStr"/>
      <c r="G40" t="inlineStr"/>
      <c r="H40" t="inlineStr"/>
      <c r="I40" t="inlineStr"/>
      <c r="J40" t="inlineStr"/>
      <c r="K40" s="2">
        <f>IF(COUNT(F40:J40)=5,SUM(F40:J40),"")</f>
        <v/>
      </c>
      <c r="L40" s="3" t="n">
        <v>17.47</v>
      </c>
      <c r="M40" s="3" t="n">
        <v>22.46</v>
      </c>
      <c r="N40" s="3" t="n">
        <v>49.92</v>
      </c>
      <c r="O40" s="4">
        <f>IF(K40="","",N40-K40)</f>
        <v/>
      </c>
      <c r="P40" s="5">
        <f>IF(O40="","",O40/N40)</f>
        <v/>
      </c>
      <c r="Q40" t="inlineStr"/>
      <c r="R40" t="inlineStr"/>
      <c r="S40" t="inlineStr">
        <is>
          <t>120</t>
        </is>
      </c>
      <c r="T40" t="inlineStr"/>
      <c r="U40" t="inlineStr">
        <is>
          <t>NON_DOCUMENTE</t>
        </is>
      </c>
      <c r="V40" s="2">
        <f>IF(OR(F40="",K40=""),"SAMPLE REQUIRED",IF(OR(S40="NON",T40="NON"),"NO GO",IF(AND(K40&lt;=L40,S40="OK",T40="OK",U40&gt;=70),"GO",IF(AND(K40&lt;=M40,S40&lt;&gt;"NON",T40&lt;&gt;"NON",U40&gt;=55),"NEGOTIATE","NO GO"))))</f>
        <v/>
      </c>
      <c r="W40" t="inlineStr"/>
      <c r="X40" t="inlineStr">
        <is>
          <t>SAMPLE REQUIRED</t>
        </is>
      </c>
      <c r="Y40" t="inlineStr">
        <is>
          <t>Prix PUBLIC $6.59/5.99/4.99/4.19/2.79 (100/500/3000/10000/100000). 2 ans MIC Diamond, Audited. Claims OEKO/BSCI/GRS/Sedex/ISO9001 + audits Walmart/CocaCola -&gt; copies A SOURCER. Capacite 1M/mois (claim). HS 6301200010. SRC ldtowel.en.made-in-china.com kTCpXhJKYLYR</t>
        </is>
      </c>
    </row>
  </sheetData>
  <conditionalFormatting sqref="V2:V20">
    <cfRule type="cellIs" priority="1" operator="equal" dxfId="0">
      <formula>"GO"</formula>
    </cfRule>
    <cfRule type="cellIs" priority="2" operator="equal" dxfId="1">
      <formula>"NEGOTIATE"</formula>
    </cfRule>
    <cfRule type="cellIs" priority="3" operator="equal" dxfId="2">
      <formula>"NO GO"</formula>
    </cfRule>
    <cfRule type="cellIs" priority="4" operator="equal" dxfId="3">
      <formula>"SAMPLE REQUIRED"</formula>
    </cfRule>
  </conditionalFormatting>
  <dataValidations count="2">
    <dataValidation sqref="S2:T20" showDropDown="0" showInputMessage="0" showErrorMessage="0" allowBlank="1" type="list">
      <formula1>"OK,PARTIEL,NON,NON_DOCUMENTE"</formula1>
    </dataValidation>
    <dataValidation sqref="U2:U2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16" customWidth="1" min="3" max="3"/>
    <col width="70" customWidth="1" min="4" max="4"/>
  </cols>
  <sheetData>
    <row r="1">
      <c r="A1" s="6" t="inlineStr">
        <is>
          <t>CRITERE</t>
        </is>
      </c>
      <c r="B1" s="6" t="inlineStr">
        <is>
          <t>POIDS</t>
        </is>
      </c>
      <c r="C1" s="6" t="inlineStr">
        <is>
          <t>SCORE (0-&gt;poids)</t>
        </is>
      </c>
      <c r="D1" s="6" t="inlineStr">
        <is>
          <t>PREUVE / SOURCE (fichier, email, rapport)</t>
        </is>
      </c>
    </row>
    <row r="2">
      <c r="A2" t="inlineStr">
        <is>
          <t>Prix / marge (landed vs cible/plancher)</t>
        </is>
      </c>
      <c r="B2" t="n">
        <v>30</v>
      </c>
    </row>
    <row r="3">
      <c r="A3" t="inlineStr">
        <is>
          <t>Qualite (audits, AQL, echantillon)</t>
        </is>
      </c>
      <c r="B3" t="n">
        <v>20</v>
      </c>
    </row>
    <row r="4">
      <c r="A4" t="inlineStr">
        <is>
          <t>Conformite (rapports, certs, notices)</t>
        </is>
      </c>
      <c r="B4" t="n">
        <v>15</v>
      </c>
    </row>
    <row r="5">
      <c r="A5" t="inlineStr">
        <is>
          <t>MOQ</t>
        </is>
      </c>
      <c r="B5" t="n">
        <v>10</v>
      </c>
    </row>
    <row r="6">
      <c r="A6" t="inlineStr">
        <is>
          <t>Delais (echantillon + production)</t>
        </is>
      </c>
      <c r="B6" t="n">
        <v>10</v>
      </c>
    </row>
    <row r="7">
      <c r="A7" t="inlineStr">
        <is>
          <t>Communication</t>
        </is>
      </c>
      <c r="B7" t="n">
        <v>5</v>
      </c>
    </row>
    <row r="8">
      <c r="A8" t="inlineStr">
        <is>
          <t>Personnalisation (logo + packaging)</t>
        </is>
      </c>
      <c r="B8" t="n">
        <v>5</v>
      </c>
    </row>
    <row r="9">
      <c r="A9" t="inlineStr">
        <is>
          <t>Logistique (DDP/CBM/carton)</t>
        </is>
      </c>
      <c r="B9" t="n">
        <v>5</v>
      </c>
    </row>
    <row r="10">
      <c r="A10" s="7" t="inlineStr">
        <is>
          <t>TOTAL /100</t>
        </is>
      </c>
      <c r="B10">
        <f>SUM(B2:B9)</f>
        <v/>
      </c>
      <c r="C10" s="7">
        <f>SUM(C2:C9)</f>
        <v/>
      </c>
    </row>
    <row r="12">
      <c r="A12" t="inlineStr">
        <is>
          <t>Regles: case vide = critere compte 0 (jamais de valeur supposee).</t>
        </is>
      </c>
      <c r="B12" t="inlineStr">
        <is>
          <t>Reporter le TOTAL dans Devis!SCORE. Barème detaille: docs/SUPPLIER_SCORECARD.md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24" customWidth="1" min="4" max="4"/>
    <col width="22" customWidth="1" min="5" max="5"/>
    <col width="22" customWidth="1" min="6" max="6"/>
    <col width="12" customWidth="1" min="7" max="7"/>
    <col width="12" customWidth="1" min="8" max="8"/>
    <col width="10" customWidth="1" min="9" max="9"/>
    <col width="52" customWidth="1" min="10" max="10"/>
  </cols>
  <sheetData>
    <row r="1">
      <c r="A1" s="6" t="inlineStr">
        <is>
          <t>PACK</t>
        </is>
      </c>
      <c r="B1" s="6" t="inlineStr">
        <is>
          <t>OPTION</t>
        </is>
      </c>
      <c r="C1" s="6" t="inlineStr">
        <is>
          <t>FOURNISSEUR / COMPOSANTS</t>
        </is>
      </c>
      <c r="D1" s="6" t="inlineStr">
        <is>
          <t>LANDED_COMPOSANTS_OU_PACK</t>
        </is>
      </c>
      <c r="E1" s="6" t="inlineStr">
        <is>
          <t>H_ASSY (1,20 hypo interne)</t>
        </is>
      </c>
      <c r="F1" s="6" t="inlineStr">
        <is>
          <t>H_SLEEVE (0,60 hypo interne)</t>
        </is>
      </c>
      <c r="G1" s="6" t="inlineStr">
        <is>
          <t>COUT_TOTAL</t>
        </is>
      </c>
      <c r="H1" s="6" t="inlineStr">
        <is>
          <t>PV_HT_PACK</t>
        </is>
      </c>
      <c r="I1" s="6" t="inlineStr">
        <is>
          <t>MARGE_%</t>
        </is>
      </c>
      <c r="J1" s="6" t="inlineStr">
        <is>
          <t>NOTES</t>
        </is>
      </c>
    </row>
    <row r="2">
      <c r="A2" t="inlineStr">
        <is>
          <t>pack-cocooning</t>
        </is>
      </c>
      <c r="B2" t="inlineStr">
        <is>
          <t>A - assemble par nous</t>
        </is>
      </c>
      <c r="E2" t="n">
        <v>1.2</v>
      </c>
      <c r="F2" t="n">
        <v>0.6</v>
      </c>
      <c r="G2">
        <f>IF(D2="","",D2+E2+F2)</f>
        <v/>
      </c>
      <c r="H2" t="n">
        <v>79.08</v>
      </c>
      <c r="I2" s="8">
        <f>IF(G2="","",(H2-G2)/H2)</f>
        <v/>
      </c>
      <c r="J2" t="inlineStr">
        <is>
          <t>B: +H_SLEEVE seulement si sleeve non inclus par le fournisseur</t>
        </is>
      </c>
    </row>
    <row r="3">
      <c r="A3" t="inlineStr">
        <is>
          <t>pack-cocooning</t>
        </is>
      </c>
      <c r="B3" t="inlineStr">
        <is>
          <t>B - pack prepare fournisseur</t>
        </is>
      </c>
      <c r="E3" t="n">
        <v>0</v>
      </c>
      <c r="F3" t="n">
        <v>0.6</v>
      </c>
      <c r="G3">
        <f>IF(D3="","",D3+E3+F3)</f>
        <v/>
      </c>
      <c r="H3" t="n">
        <v>79.08</v>
      </c>
      <c r="I3" s="8">
        <f>IF(G3="","",(H3-G3)/H3)</f>
        <v/>
      </c>
      <c r="J3" t="inlineStr">
        <is>
          <t>B: +H_SLEEVE seulement si sleeve non inclus par le fournisseur</t>
        </is>
      </c>
    </row>
    <row r="4">
      <c r="A4" t="inlineStr">
        <is>
          <t>pack-cocooning</t>
        </is>
      </c>
      <c r="B4" t="inlineStr">
        <is>
          <t>C - volume combine (paliers RFQ)</t>
        </is>
      </c>
      <c r="E4" t="n">
        <v>1.2</v>
      </c>
      <c r="F4" t="n">
        <v>0.6</v>
      </c>
      <c r="G4">
        <f>IF(D4="","",D4+E4+F4)</f>
        <v/>
      </c>
      <c r="H4" t="n">
        <v>79.08</v>
      </c>
      <c r="I4" s="8">
        <f>IF(G4="","",(H4-G4)/H4)</f>
        <v/>
      </c>
      <c r="J4" t="inlineStr">
        <is>
          <t>B: +H_SLEEVE seulement si sleeve non inclus par le fournisseur</t>
        </is>
      </c>
    </row>
    <row r="5">
      <c r="A5" t="inlineStr">
        <is>
          <t>pack-grand-froid</t>
        </is>
      </c>
      <c r="B5" t="inlineStr">
        <is>
          <t>A - assemble par nous</t>
        </is>
      </c>
      <c r="E5" t="n">
        <v>1.2</v>
      </c>
      <c r="F5" t="n">
        <v>0.6</v>
      </c>
      <c r="G5">
        <f>IF(D5="","",D5+E5+F5)</f>
        <v/>
      </c>
      <c r="H5" t="n">
        <v>91.58</v>
      </c>
      <c r="I5" s="8">
        <f>IF(G5="","",(H5-G5)/H5)</f>
        <v/>
      </c>
      <c r="J5" t="inlineStr">
        <is>
          <t>B: +H_SLEEVE seulement si sleeve non inclus par le fournisseur</t>
        </is>
      </c>
    </row>
    <row r="6">
      <c r="A6" t="inlineStr">
        <is>
          <t>pack-grand-froid</t>
        </is>
      </c>
      <c r="B6" t="inlineStr">
        <is>
          <t>B - pack prepare fournisseur</t>
        </is>
      </c>
      <c r="E6" t="n">
        <v>0</v>
      </c>
      <c r="F6" t="n">
        <v>0.6</v>
      </c>
      <c r="G6">
        <f>IF(D6="","",D6+E6+F6)</f>
        <v/>
      </c>
      <c r="H6" t="n">
        <v>91.58</v>
      </c>
      <c r="I6" s="8">
        <f>IF(G6="","",(H6-G6)/H6)</f>
        <v/>
      </c>
      <c r="J6" t="inlineStr">
        <is>
          <t>B: +H_SLEEVE seulement si sleeve non inclus par le fournisseur</t>
        </is>
      </c>
    </row>
    <row r="7">
      <c r="A7" t="inlineStr">
        <is>
          <t>pack-grand-froid</t>
        </is>
      </c>
      <c r="B7" t="inlineStr">
        <is>
          <t>C - volume combine (paliers RFQ)</t>
        </is>
      </c>
      <c r="E7" t="n">
        <v>1.2</v>
      </c>
      <c r="F7" t="n">
        <v>0.6</v>
      </c>
      <c r="G7">
        <f>IF(D7="","",D7+E7+F7)</f>
        <v/>
      </c>
      <c r="H7" t="n">
        <v>91.58</v>
      </c>
      <c r="I7" s="8">
        <f>IF(G7="","",(H7-G7)/H7)</f>
        <v/>
      </c>
      <c r="J7" t="inlineStr">
        <is>
          <t>B: +H_SLEEVE seulement si sleeve non inclus par le fournisseur</t>
        </is>
      </c>
    </row>
    <row r="8">
      <c r="A8" t="inlineStr">
        <is>
          <t>pack-auto-hiver</t>
        </is>
      </c>
      <c r="B8" t="inlineStr">
        <is>
          <t>A - assemble par nous</t>
        </is>
      </c>
      <c r="E8" t="n">
        <v>1.2</v>
      </c>
      <c r="F8" t="n">
        <v>0.6</v>
      </c>
      <c r="G8">
        <f>IF(D8="","",D8+E8+F8)</f>
        <v/>
      </c>
      <c r="H8" t="n">
        <v>45.75</v>
      </c>
      <c r="I8" s="8">
        <f>IF(G8="","",(H8-G8)/H8)</f>
        <v/>
      </c>
      <c r="J8" t="inlineStr">
        <is>
          <t>B: +H_SLEEVE seulement si sleeve non inclus par le fournisseur</t>
        </is>
      </c>
    </row>
    <row r="9">
      <c r="A9" t="inlineStr">
        <is>
          <t>pack-auto-hiver</t>
        </is>
      </c>
      <c r="B9" t="inlineStr">
        <is>
          <t>B - pack prepare fournisseur</t>
        </is>
      </c>
      <c r="E9" t="n">
        <v>0</v>
      </c>
      <c r="F9" t="n">
        <v>0.6</v>
      </c>
      <c r="G9">
        <f>IF(D9="","",D9+E9+F9)</f>
        <v/>
      </c>
      <c r="H9" t="n">
        <v>45.75</v>
      </c>
      <c r="I9" s="8">
        <f>IF(G9="","",(H9-G9)/H9)</f>
        <v/>
      </c>
      <c r="J9" t="inlineStr">
        <is>
          <t>B: +H_SLEEVE seulement si sleeve non inclus par le fournisseur</t>
        </is>
      </c>
    </row>
    <row r="10">
      <c r="A10" t="inlineStr">
        <is>
          <t>pack-auto-hiver</t>
        </is>
      </c>
      <c r="B10" t="inlineStr">
        <is>
          <t>C - volume combine (paliers RFQ)</t>
        </is>
      </c>
      <c r="E10" t="n">
        <v>1.2</v>
      </c>
      <c r="F10" t="n">
        <v>0.6</v>
      </c>
      <c r="G10">
        <f>IF(D10="","",D10+E10+F10)</f>
        <v/>
      </c>
      <c r="H10" t="n">
        <v>45.75</v>
      </c>
      <c r="I10" s="8">
        <f>IF(G10="","",(H10-G10)/H10)</f>
        <v/>
      </c>
      <c r="J10" t="inlineStr">
        <is>
          <t>B: +H_SLEEVE seulement si sleeve non inclus par le fournisseur</t>
        </is>
      </c>
    </row>
    <row r="11">
      <c r="A11" t="inlineStr">
        <is>
          <t>pack-ski</t>
        </is>
      </c>
      <c r="B11" t="inlineStr">
        <is>
          <t>A - assemble par nous</t>
        </is>
      </c>
      <c r="E11" t="n">
        <v>1.2</v>
      </c>
      <c r="F11" t="n">
        <v>0.6</v>
      </c>
      <c r="G11">
        <f>IF(D11="","",D11+E11+F11)</f>
        <v/>
      </c>
      <c r="H11" t="n">
        <v>87.42</v>
      </c>
      <c r="I11" s="8">
        <f>IF(G11="","",(H11-G11)/H11)</f>
        <v/>
      </c>
      <c r="J11" t="inlineStr">
        <is>
          <t>B: +H_SLEEVE seulement si sleeve non inclus par le fournisseur</t>
        </is>
      </c>
    </row>
    <row r="12">
      <c r="A12" t="inlineStr">
        <is>
          <t>pack-ski</t>
        </is>
      </c>
      <c r="B12" t="inlineStr">
        <is>
          <t>B - pack prepare fournisseur</t>
        </is>
      </c>
      <c r="E12" t="n">
        <v>0</v>
      </c>
      <c r="F12" t="n">
        <v>0.6</v>
      </c>
      <c r="G12">
        <f>IF(D12="","",D12+E12+F12)</f>
        <v/>
      </c>
      <c r="H12" t="n">
        <v>87.42</v>
      </c>
      <c r="I12" s="8">
        <f>IF(G12="","",(H12-G12)/H12)</f>
        <v/>
      </c>
      <c r="J12" t="inlineStr">
        <is>
          <t>B: +H_SLEEVE seulement si sleeve non inclus par le fournisseur</t>
        </is>
      </c>
    </row>
    <row r="13">
      <c r="A13" t="inlineStr">
        <is>
          <t>pack-ski</t>
        </is>
      </c>
      <c r="B13" t="inlineStr">
        <is>
          <t>C - volume combine (paliers RFQ)</t>
        </is>
      </c>
      <c r="E13" t="n">
        <v>1.2</v>
      </c>
      <c r="F13" t="n">
        <v>0.6</v>
      </c>
      <c r="G13">
        <f>IF(D13="","",D13+E13+F13)</f>
        <v/>
      </c>
      <c r="H13" t="n">
        <v>87.42</v>
      </c>
      <c r="I13" s="8">
        <f>IF(G13="","",(H13-G13)/H13)</f>
        <v/>
      </c>
      <c r="J13" t="inlineStr">
        <is>
          <t>B: +H_SLEEVE seulement si sleeve non inclus par le fournisseur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1. Ouvrir l'onglet Devis. Une ligne = un couple (produit, fournisseur, palier QTY).</t>
        </is>
      </c>
    </row>
    <row r="2">
      <c r="A2" t="inlineStr">
        <is>
          <t>2. Ne saisir QUE les champs recus par ecrit du fournisseur (jamais de valeur supposee).</t>
        </is>
      </c>
    </row>
    <row r="3">
      <c r="A3" t="inlineStr">
        <is>
          <t>3. UNIT_EXW..OTHER_COSTS en EUR/unite (convertir USD au taux du jour, taux+date en NOTES).</t>
        </is>
      </c>
    </row>
    <row r="4">
      <c r="A4" t="inlineStr">
        <is>
          <t>4. PACKAGING/FREIGHT/DUTY/OTHER par unite au palier considere (cotation forwarder reelle).</t>
        </is>
      </c>
    </row>
    <row r="5">
      <c r="A5" t="inlineStr">
        <is>
          <t>5. LANDED, MARGE et DECISION se calculent seuls (colonnes beigees). Ne pas les ecraser.</t>
        </is>
      </c>
    </row>
    <row r="6">
      <c r="A6" t="inlineStr">
        <is>
          <t>6. Completer l'onglet Scorecard (0-&gt;poids par critere, preuves citees) puis reporter le total dans SCORE.</t>
        </is>
      </c>
    </row>
    <row r="7">
      <c r="A7" t="inlineStr">
        <is>
          <t>7. Mettre a jour COMPLIANCE_STATUS / QUALITY_STATUS avec le vocabulaire controle (OK/PARTIEL/NON/NON_DOCUMENTE).</t>
        </is>
      </c>
    </row>
    <row r="8">
      <c r="A8" t="inlineStr">
        <is>
          <t>8. Gates manuels avant toute lecture de DECISION: FOYER docs complets (RFQ 4.x); echantillon PASS (SAMPLE_TEST_PLAN);</t>
        </is>
      </c>
    </row>
    <row r="9">
      <c r="A9" t="inlineStr">
        <is>
          <t xml:space="preserve">   produits tailles: table cm + tolerances + 3 tailles recues; aucune cert claimée sans copie.</t>
        </is>
      </c>
    </row>
    <row r="10">
      <c r="A10" t="inlineStr">
        <is>
          <t>9. Exporter/enregistrer une copie CSV: sourcing/supplier-comparison.csv (memes colonnes).</t>
        </is>
      </c>
    </row>
    <row r="11">
      <c r="A11" t="inlineStr">
        <is>
          <t>10. Archiver les preuves: sourcing/attachments/&lt;fournisseur&gt;/&lt;produit&gt;/ et refencer en NOTES.</t>
        </is>
      </c>
    </row>
    <row r="12">
      <c r="A12" t="inlineStr">
        <is>
          <t>11. Packs: renseigner l'onglet Packs (A/B/C) des que les paliers R8-R11 sont recus; choisir min cout a conformite egale.</t>
        </is>
      </c>
    </row>
    <row r="13">
      <c r="A13" t="inlineStr">
        <is>
          <t>12. Ne jamais modifier TARGET/FLOOR/SELLING_PRICE_HT (colonnes bleues): decision commerciale tracee separement.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2026-09-18T16:42:34Z</dcterms:created>
  <dcterms:modified xmlns:dcterms="http://purl.org/dc/terms/" xmlns:xsi="http://www.w3.org/2001/XMLSchema-instance" xsi:type="dcterms:W3CDTF">2026-09-18T17:17:53Z</dcterms:modified>
</cp:coreProperties>
</file>